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ARCHIVE_U2S\4. Cours\Charges de cours\S7 - Codage de l'information\AUT2026\APP2 - Quantification\AUT26 - Documents\3. Proceduraux\"/>
    </mc:Choice>
  </mc:AlternateContent>
  <xr:revisionPtr revIDLastSave="0" documentId="13_ncr:1_{FD342068-606D-4E05-AF52-C62AC576891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blème 1" sheetId="1" r:id="rId1"/>
    <sheet name="Problème 2" sheetId="2" r:id="rId2"/>
    <sheet name="Problèm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I10" i="2" s="1"/>
  <c r="F11" i="2"/>
  <c r="F12" i="2"/>
  <c r="F13" i="2"/>
  <c r="F14" i="2"/>
  <c r="F15" i="2"/>
  <c r="F16" i="2"/>
  <c r="F2" i="2"/>
  <c r="I6" i="2" l="1"/>
  <c r="I4" i="2"/>
  <c r="I14" i="2"/>
  <c r="I9" i="2"/>
  <c r="I13" i="2"/>
  <c r="I8" i="2"/>
  <c r="I7" i="2"/>
  <c r="I5" i="2"/>
  <c r="I2" i="2"/>
  <c r="I17" i="2"/>
  <c r="I12" i="2"/>
  <c r="I16" i="2"/>
  <c r="I11" i="2"/>
  <c r="I3" i="2"/>
  <c r="I1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E2" i="2" s="1"/>
  <c r="G3" i="1"/>
  <c r="G4" i="1"/>
  <c r="G5" i="1"/>
  <c r="G2" i="1"/>
  <c r="D3" i="1"/>
  <c r="D4" i="1"/>
  <c r="D5" i="1"/>
  <c r="D2" i="1"/>
  <c r="C2" i="1"/>
  <c r="B2" i="1"/>
  <c r="E3" i="2" l="1"/>
  <c r="E4" i="2" s="1"/>
  <c r="E5" i="2" s="1"/>
  <c r="E6" i="2" s="1"/>
  <c r="E7" i="2" s="1"/>
  <c r="E8" i="2" s="1"/>
  <c r="E9" i="2" s="1"/>
  <c r="E10" i="2" s="1"/>
  <c r="E11" i="2" l="1"/>
  <c r="E12" i="2" s="1"/>
  <c r="E13" i="2" s="1"/>
  <c r="E14" i="2" s="1"/>
  <c r="E15" i="2" s="1"/>
  <c r="E16" i="2" s="1"/>
  <c r="H3" i="2"/>
  <c r="H11" i="2"/>
  <c r="H13" i="2"/>
  <c r="H14" i="2"/>
  <c r="H15" i="2"/>
  <c r="H8" i="2"/>
  <c r="H17" i="2"/>
  <c r="H2" i="2"/>
  <c r="H4" i="2"/>
  <c r="H12" i="2"/>
  <c r="H5" i="2"/>
  <c r="H6" i="2"/>
  <c r="H7" i="2"/>
  <c r="H16" i="2"/>
  <c r="H9" i="2"/>
  <c r="H10" i="2"/>
  <c r="J2" i="2" l="1"/>
</calcChain>
</file>

<file path=xl/sharedStrings.xml><?xml version="1.0" encoding="utf-8"?>
<sst xmlns="http://schemas.openxmlformats.org/spreadsheetml/2006/main" count="38" uniqueCount="35">
  <si>
    <t>I_source</t>
  </si>
  <si>
    <t>Moyenne</t>
  </si>
  <si>
    <t>Ecart-type</t>
  </si>
  <si>
    <t>I_encoded</t>
  </si>
  <si>
    <t>I_decoded</t>
  </si>
  <si>
    <t>Reconstr.</t>
  </si>
  <si>
    <t>I_normalised</t>
  </si>
  <si>
    <t>Algorithme BTC avec EQM</t>
  </si>
  <si>
    <t>I_souce</t>
  </si>
  <si>
    <t>q</t>
  </si>
  <si>
    <t>M-q</t>
  </si>
  <si>
    <t>a</t>
  </si>
  <si>
    <t>b</t>
  </si>
  <si>
    <t>J(q)</t>
  </si>
  <si>
    <t>Tri croiss.</t>
  </si>
  <si>
    <t>Idem pour les M-q pixels les plus clairs</t>
  </si>
  <si>
    <t>Trier les intensités du bloc par ordre croissant, puis essayer toutes les répartitions possibles entre q pixels foncés et M-q pixels clairs</t>
  </si>
  <si>
    <t>Recommencer pour chaque bloc de l'image</t>
  </si>
  <si>
    <t>* 6454 *</t>
  </si>
  <si>
    <t>Transmettre l'intensité des pixels clairs (81), celle des pixels foncés (184), et un bit pour chacun des pixels du bloc</t>
  </si>
  <si>
    <t>Seuils et niveaux de reconstruction: loi gaussienne, 4 niveaux, table 9.6 (p. 280)</t>
  </si>
  <si>
    <r>
      <t xml:space="preserve">1. Ceci n'est </t>
    </r>
    <r>
      <rPr>
        <b/>
        <sz val="11"/>
        <color theme="1"/>
        <rFont val="Calibri"/>
        <family val="2"/>
        <scheme val="minor"/>
      </rPr>
      <t>que l'encodeur</t>
    </r>
    <r>
      <rPr>
        <sz val="11"/>
        <color theme="1"/>
        <rFont val="Calibri"/>
        <family val="2"/>
        <scheme val="minor"/>
      </rPr>
      <t xml:space="preserve"> du quantificateur non-uniforme Lloyd-Max; le décodeur effectue les opérations inverses.</t>
    </r>
  </si>
  <si>
    <r>
      <t xml:space="preserve">2. Pour la </t>
    </r>
    <r>
      <rPr>
        <b/>
        <sz val="11"/>
        <color theme="1"/>
        <rFont val="Calibri"/>
        <family val="2"/>
        <scheme val="minor"/>
      </rPr>
      <t>quantification de la moyenne et de l'écart type</t>
    </r>
    <r>
      <rPr>
        <sz val="11"/>
        <color theme="1"/>
        <rFont val="Calibri"/>
        <family val="2"/>
        <scheme val="minor"/>
      </rPr>
      <t xml:space="preserve">, nous avons simplement pris l'entier le plus proche. </t>
    </r>
  </si>
  <si>
    <t>Dans la pratique, ces deux quantificateurs devraient également être choisis avec soin (scalairement, vectoriellement ?).</t>
  </si>
  <si>
    <t>La meilleure répartition est celle qui minimise l'erreur quadratique totale J(q) (* 6454 *)</t>
  </si>
  <si>
    <t>Le meilleur représentant (au sens de l'EQM) des q pixels les plus foncés est la moyenne de leurs intensités (cf. règle du centroïde)</t>
  </si>
  <si>
    <t>   </t>
  </si>
  <si>
    <t>        8564.25     128.19</t>
  </si>
  <si>
    <t>        1380.25     1485.19</t>
  </si>
  <si>
    <t>        6     3</t>
  </si>
  <si>
    <t>        5     5</t>
  </si>
  <si>
    <t>Matrice de variances (avec l'estimateur biaisé) :</t>
  </si>
  <si>
    <t>Table d'allocation de bits :</t>
  </si>
  <si>
    <t>Cette table devrait être ajustée pour un total de 20 bits par bloc.</t>
  </si>
  <si>
    <t>Note: vous obtiendrez un résultat correct mais un peu différent avec l'estimateur non-biaisé de la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</si>
</sst>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3" borderId="0" xfId="0" applyFill="1" applyAlignment="1">
      <alignment horizontal="right"/>
    </xf>
    <xf numFmtId="1" fontId="2" fillId="0" borderId="0" xfId="0" applyNumberFormat="1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0" borderId="0" xfId="0" applyFont="1"/>
    <xf numFmtId="0" fontId="3" fillId="2" borderId="0" xfId="0" applyFont="1" applyFill="1"/>
    <xf numFmtId="1" fontId="4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59121</xdr:colOff>
      <xdr:row>8</xdr:row>
      <xdr:rowOff>0</xdr:rowOff>
    </xdr:from>
    <xdr:to>
      <xdr:col>6</xdr:col>
      <xdr:colOff>689741</xdr:colOff>
      <xdr:row>14</xdr:row>
      <xdr:rowOff>101161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9121" y="1524000"/>
          <a:ext cx="5202620" cy="1244161"/>
          <a:chOff x="59121" y="1524000"/>
          <a:chExt cx="5202620" cy="1244161"/>
        </a:xfrm>
      </xdr:grpSpPr>
      <xdr:cxnSp macro="">
        <xdr:nvCxnSpPr>
          <xdr:cNvPr id="3" name="Connecteur droi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749840" y="1722606"/>
            <a:ext cx="3622135" cy="1419"/>
          </a:xfrm>
          <a:prstGeom prst="lin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sp macro="" textlink="">
        <xdr:nvSpPr>
          <xdr:cNvPr id="4" name="Ellips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76350" y="1581150"/>
            <a:ext cx="285750" cy="2952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lang="fr-CA" sz="1100" b="1">
                <a:latin typeface="Symbol" panose="05050102010706020507" pitchFamily="18" charset="2"/>
              </a:rPr>
              <a:t>S</a:t>
            </a:r>
          </a:p>
        </xdr:txBody>
      </xdr:sp>
      <xdr:sp macro="" textlink="">
        <xdr:nvSpPr>
          <xdr:cNvPr id="5" name="El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209800" y="1581150"/>
            <a:ext cx="285750" cy="29527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algn="l"/>
            <a:r>
              <a:rPr lang="fr-CA" sz="1100" b="1">
                <a:latin typeface="Symbol" panose="05050102010706020507" pitchFamily="18" charset="2"/>
              </a:rPr>
              <a:t>P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124200" y="1524000"/>
            <a:ext cx="723900" cy="4095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0" rtlCol="0" anchor="t"/>
          <a:lstStyle/>
          <a:p>
            <a:pPr algn="ctr"/>
            <a:r>
              <a:rPr lang="fr-CA" sz="1100"/>
              <a:t>Q</a:t>
            </a:r>
          </a:p>
          <a:p>
            <a:pPr algn="ctr"/>
            <a:r>
              <a:rPr lang="fr-CA" sz="1100"/>
              <a:t>(table</a:t>
            </a:r>
            <a:r>
              <a:rPr lang="fr-CA" sz="1100" baseline="0"/>
              <a:t> 9.6)</a:t>
            </a:r>
            <a:endParaRPr lang="fr-CA" sz="1100"/>
          </a:p>
        </xdr:txBody>
      </xdr:sp>
      <xdr:cxnSp macro="">
        <xdr:nvCxnSpPr>
          <xdr:cNvPr id="15" name="Connecteur droit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771525" y="2213853"/>
            <a:ext cx="647700" cy="0"/>
          </a:xfrm>
          <a:prstGeom prst="lin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cxnSp macro="">
        <xdr:nvCxnSpPr>
          <xdr:cNvPr id="16" name="Connecteur droit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 flipV="1">
            <a:off x="766053" y="2676526"/>
            <a:ext cx="1574055" cy="6687"/>
          </a:xfrm>
          <a:prstGeom prst="lin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cxnSp macro="">
        <xdr:nvCxnSpPr>
          <xdr:cNvPr id="19" name="Connecteur droit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>
            <a:endCxn id="4" idx="4"/>
          </xdr:cNvCxnSpPr>
        </xdr:nvCxnSpPr>
        <xdr:spPr>
          <a:xfrm flipV="1">
            <a:off x="1418617" y="1876425"/>
            <a:ext cx="608" cy="348777"/>
          </a:xfrm>
          <a:prstGeom prst="lin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cxnSp macro="">
        <xdr:nvCxnSpPr>
          <xdr:cNvPr id="22" name="Connecteur droit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/>
        </xdr:nvCxnSpPr>
        <xdr:spPr>
          <a:xfrm flipV="1">
            <a:off x="2342745" y="1876426"/>
            <a:ext cx="405" cy="790574"/>
          </a:xfrm>
          <a:prstGeom prst="lin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cxn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9121" y="1583121"/>
            <a:ext cx="670035" cy="2890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CA" sz="1100">
                <a:solidFill>
                  <a:sysClr val="windowText" lastClr="000000"/>
                </a:solidFill>
              </a:rPr>
              <a:t>I_source</a:t>
            </a: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295603" y="2031124"/>
            <a:ext cx="369177" cy="2890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CA" sz="1100">
                <a:solidFill>
                  <a:sysClr val="windowText" lastClr="000000"/>
                </a:solidFill>
                <a:latin typeface="Symbol" panose="05050102010706020507" pitchFamily="18" charset="2"/>
              </a:rPr>
              <a:t>m</a:t>
            </a:r>
            <a:r>
              <a:rPr lang="fr-CA" sz="1100" baseline="-25000">
                <a:solidFill>
                  <a:sysClr val="windowText" lastClr="000000"/>
                </a:solidFill>
              </a:rPr>
              <a:t>q</a:t>
            </a: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302172" y="2479127"/>
            <a:ext cx="363922" cy="2890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CA" sz="1100">
                <a:solidFill>
                  <a:sysClr val="windowText" lastClr="000000"/>
                </a:solidFill>
                <a:latin typeface="Symbol" panose="05050102010706020507" pitchFamily="18" charset="2"/>
              </a:rPr>
              <a:t>s</a:t>
            </a:r>
            <a:r>
              <a:rPr lang="fr-CA" sz="1100" baseline="-25000">
                <a:solidFill>
                  <a:sysClr val="windowText" lastClr="000000"/>
                </a:solidFill>
              </a:rPr>
              <a:t>q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402521" y="1577866"/>
            <a:ext cx="859220" cy="2890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CA" sz="1100">
                <a:solidFill>
                  <a:sysClr val="windowText" lastClr="000000"/>
                </a:solidFill>
              </a:rPr>
              <a:t>I_encoded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="145" zoomScaleNormal="145" workbookViewId="0">
      <selection activeCell="A18" sqref="A18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5</v>
      </c>
      <c r="G1" t="s">
        <v>4</v>
      </c>
    </row>
    <row r="2" spans="1:9" x14ac:dyDescent="0.25">
      <c r="A2">
        <v>12</v>
      </c>
      <c r="B2">
        <f>AVERAGE(A:A)</f>
        <v>15.25</v>
      </c>
      <c r="C2">
        <f>_xlfn.STDEV.P(A:A)</f>
        <v>2.5860201081971503</v>
      </c>
      <c r="D2">
        <f>(A2-$B$3)/$C$3</f>
        <v>-1</v>
      </c>
      <c r="E2">
        <v>0</v>
      </c>
      <c r="F2">
        <v>-1.51</v>
      </c>
      <c r="G2">
        <f>F2*$C$3+$B$3</f>
        <v>10.469999999999999</v>
      </c>
    </row>
    <row r="3" spans="1:9" x14ac:dyDescent="0.25">
      <c r="A3">
        <v>14</v>
      </c>
      <c r="B3">
        <v>15</v>
      </c>
      <c r="C3">
        <v>3</v>
      </c>
      <c r="D3">
        <f t="shared" ref="D3:D5" si="0">(A3-$B$3)/$C$3</f>
        <v>-0.33333333333333331</v>
      </c>
      <c r="E3">
        <v>1</v>
      </c>
      <c r="F3">
        <v>-0.45279999999999998</v>
      </c>
      <c r="G3">
        <f t="shared" ref="G3:G5" si="1">F3*$C$3+$B$3</f>
        <v>13.6416</v>
      </c>
    </row>
    <row r="4" spans="1:9" x14ac:dyDescent="0.25">
      <c r="A4">
        <v>16</v>
      </c>
      <c r="D4">
        <f t="shared" si="0"/>
        <v>0.33333333333333331</v>
      </c>
      <c r="E4">
        <v>2</v>
      </c>
      <c r="F4">
        <v>0.45279999999999998</v>
      </c>
      <c r="G4">
        <f t="shared" si="1"/>
        <v>16.3584</v>
      </c>
    </row>
    <row r="5" spans="1:9" x14ac:dyDescent="0.25">
      <c r="A5">
        <v>19</v>
      </c>
      <c r="D5">
        <f t="shared" si="0"/>
        <v>1.3333333333333333</v>
      </c>
      <c r="E5">
        <v>3</v>
      </c>
      <c r="F5">
        <v>1.51</v>
      </c>
      <c r="G5">
        <f t="shared" si="1"/>
        <v>19.53</v>
      </c>
    </row>
    <row r="7" spans="1:9" x14ac:dyDescent="0.25">
      <c r="E7" t="s">
        <v>20</v>
      </c>
    </row>
    <row r="16" spans="1:9" x14ac:dyDescent="0.25">
      <c r="A16" s="3" t="s">
        <v>21</v>
      </c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 t="s">
        <v>22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 t="s">
        <v>23</v>
      </c>
      <c r="B18" s="3"/>
      <c r="C18" s="3"/>
      <c r="D18" s="3"/>
      <c r="E18" s="3"/>
      <c r="F18" s="3"/>
      <c r="G18" s="3"/>
      <c r="H18" s="3"/>
      <c r="I18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>
      <selection activeCell="F12" sqref="F12"/>
    </sheetView>
  </sheetViews>
  <sheetFormatPr baseColWidth="10" defaultColWidth="11.42578125" defaultRowHeight="15" x14ac:dyDescent="0.25"/>
  <cols>
    <col min="2" max="2" width="13.42578125" customWidth="1"/>
    <col min="8" max="10" width="11.42578125" style="9" customWidth="1"/>
  </cols>
  <sheetData>
    <row r="1" spans="1:10" s="2" customFormat="1" x14ac:dyDescent="0.25">
      <c r="A1" s="2" t="s">
        <v>8</v>
      </c>
      <c r="B1" s="2" t="s">
        <v>14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7"/>
      <c r="I1" s="7"/>
      <c r="J1" s="7"/>
    </row>
    <row r="2" spans="1:10" x14ac:dyDescent="0.25">
      <c r="A2">
        <v>65</v>
      </c>
      <c r="B2">
        <v>48</v>
      </c>
      <c r="C2">
        <v>15</v>
      </c>
      <c r="D2">
        <f>16-C2</f>
        <v>1</v>
      </c>
      <c r="E2" s="1">
        <f>B2/D2</f>
        <v>48</v>
      </c>
      <c r="F2" s="1">
        <f>SUM(B3:$B$17)/C2</f>
        <v>131.46666666666667</v>
      </c>
      <c r="G2">
        <v>41632</v>
      </c>
      <c r="H2" s="11">
        <f>B2-$E$10</f>
        <v>-33.222222222222229</v>
      </c>
      <c r="I2" s="6">
        <f>B2-$F$10</f>
        <v>-136.14285714285714</v>
      </c>
      <c r="J2" s="11">
        <f>SUMSQ(H2:H10)+SUMSQ(I11:I17)</f>
        <v>6454.4126984126979</v>
      </c>
    </row>
    <row r="3" spans="1:10" x14ac:dyDescent="0.25">
      <c r="A3">
        <v>76</v>
      </c>
      <c r="B3">
        <v>65</v>
      </c>
      <c r="C3">
        <v>14</v>
      </c>
      <c r="D3">
        <f t="shared" ref="D3:D16" si="0">16-C3</f>
        <v>2</v>
      </c>
      <c r="E3" s="1">
        <f>(B3+D2*E2)/D3</f>
        <v>56.5</v>
      </c>
      <c r="F3" s="1">
        <f>SUM(B4:$B$17)/C3</f>
        <v>136.21428571428572</v>
      </c>
      <c r="G3" s="1">
        <v>37043</v>
      </c>
      <c r="H3" s="11">
        <f t="shared" ref="H3:H17" si="1">B3-$E$10</f>
        <v>-16.222222222222229</v>
      </c>
      <c r="I3" s="6">
        <f t="shared" ref="I3:I17" si="2">B3-$F$10</f>
        <v>-119.14285714285714</v>
      </c>
    </row>
    <row r="4" spans="1:10" x14ac:dyDescent="0.25">
      <c r="A4">
        <v>86</v>
      </c>
      <c r="B4">
        <v>69</v>
      </c>
      <c r="C4">
        <v>13</v>
      </c>
      <c r="D4">
        <f t="shared" si="0"/>
        <v>3</v>
      </c>
      <c r="E4" s="1">
        <f t="shared" ref="E4:E16" si="3">(B4+D3*E3)/D4</f>
        <v>60.666666666666664</v>
      </c>
      <c r="F4" s="1">
        <f>SUM(B5:$B$17)/C4</f>
        <v>141.38461538461539</v>
      </c>
      <c r="G4">
        <v>32282</v>
      </c>
      <c r="H4" s="11">
        <f t="shared" si="1"/>
        <v>-12.222222222222229</v>
      </c>
      <c r="I4" s="6">
        <f t="shared" si="2"/>
        <v>-115.14285714285714</v>
      </c>
    </row>
    <row r="5" spans="1:10" x14ac:dyDescent="0.25">
      <c r="A5">
        <v>89</v>
      </c>
      <c r="B5">
        <v>76</v>
      </c>
      <c r="C5">
        <v>12</v>
      </c>
      <c r="D5">
        <f t="shared" si="0"/>
        <v>4</v>
      </c>
      <c r="E5" s="1">
        <f t="shared" si="3"/>
        <v>64.5</v>
      </c>
      <c r="F5" s="1">
        <f>SUM(B6:$B$17)/C5</f>
        <v>146.83333333333334</v>
      </c>
      <c r="G5">
        <v>27827</v>
      </c>
      <c r="H5" s="11">
        <f t="shared" si="1"/>
        <v>-5.2222222222222285</v>
      </c>
      <c r="I5" s="6">
        <f t="shared" si="2"/>
        <v>-108.14285714285714</v>
      </c>
    </row>
    <row r="6" spans="1:10" x14ac:dyDescent="0.25">
      <c r="A6">
        <v>48</v>
      </c>
      <c r="B6">
        <v>80</v>
      </c>
      <c r="C6">
        <v>11</v>
      </c>
      <c r="D6">
        <f t="shared" si="0"/>
        <v>5</v>
      </c>
      <c r="E6" s="1">
        <f t="shared" si="3"/>
        <v>67.599999999999994</v>
      </c>
      <c r="F6" s="1">
        <f>SUM(B7:$B$17)/C6</f>
        <v>152.90909090909091</v>
      </c>
      <c r="G6">
        <v>23146</v>
      </c>
      <c r="H6" s="11">
        <f t="shared" si="1"/>
        <v>-1.2222222222222285</v>
      </c>
      <c r="I6" s="6">
        <f t="shared" si="2"/>
        <v>-104.14285714285714</v>
      </c>
    </row>
    <row r="7" spans="1:10" x14ac:dyDescent="0.25">
      <c r="A7">
        <v>69</v>
      </c>
      <c r="B7">
        <v>86</v>
      </c>
      <c r="C7">
        <v>10</v>
      </c>
      <c r="D7">
        <f t="shared" si="0"/>
        <v>6</v>
      </c>
      <c r="E7" s="1">
        <f t="shared" si="3"/>
        <v>70.666666666666671</v>
      </c>
      <c r="F7" s="1">
        <f>SUM(B8:$B$17)/C7</f>
        <v>159.6</v>
      </c>
      <c r="G7">
        <v>18504</v>
      </c>
      <c r="H7" s="11">
        <f t="shared" si="1"/>
        <v>4.7777777777777715</v>
      </c>
      <c r="I7" s="6">
        <f t="shared" si="2"/>
        <v>-98.142857142857139</v>
      </c>
    </row>
    <row r="8" spans="1:10" x14ac:dyDescent="0.25">
      <c r="A8">
        <v>128</v>
      </c>
      <c r="B8">
        <v>89</v>
      </c>
      <c r="C8">
        <v>9</v>
      </c>
      <c r="D8">
        <f t="shared" si="0"/>
        <v>7</v>
      </c>
      <c r="E8" s="1">
        <f t="shared" si="3"/>
        <v>73.285714285714292</v>
      </c>
      <c r="F8" s="1">
        <f>SUM(B9:$B$17)/C8</f>
        <v>167.44444444444446</v>
      </c>
      <c r="G8">
        <v>13254</v>
      </c>
      <c r="H8" s="11">
        <f t="shared" si="1"/>
        <v>7.7777777777777715</v>
      </c>
      <c r="I8" s="6">
        <f t="shared" si="2"/>
        <v>-95.142857142857139</v>
      </c>
    </row>
    <row r="9" spans="1:10" x14ac:dyDescent="0.25">
      <c r="A9">
        <v>189</v>
      </c>
      <c r="B9">
        <v>90</v>
      </c>
      <c r="C9">
        <v>8</v>
      </c>
      <c r="D9">
        <f t="shared" si="0"/>
        <v>8</v>
      </c>
      <c r="E9" s="1">
        <f t="shared" si="3"/>
        <v>75.375</v>
      </c>
      <c r="F9" s="1">
        <f>SUM(B10:$B$17)/C9</f>
        <v>177.125</v>
      </c>
      <c r="G9">
        <v>6751</v>
      </c>
      <c r="H9" s="11">
        <f t="shared" si="1"/>
        <v>8.7777777777777715</v>
      </c>
      <c r="I9" s="6">
        <f t="shared" si="2"/>
        <v>-94.142857142857139</v>
      </c>
    </row>
    <row r="10" spans="1:10" x14ac:dyDescent="0.25">
      <c r="A10">
        <v>90</v>
      </c>
      <c r="B10">
        <v>128</v>
      </c>
      <c r="C10">
        <v>7</v>
      </c>
      <c r="D10">
        <f t="shared" si="0"/>
        <v>9</v>
      </c>
      <c r="E10" s="1">
        <f t="shared" si="3"/>
        <v>81.222222222222229</v>
      </c>
      <c r="F10" s="1">
        <f>SUM(B11:$B$17)/C10</f>
        <v>184.14285714285714</v>
      </c>
      <c r="G10" s="5" t="s">
        <v>18</v>
      </c>
      <c r="H10" s="11">
        <f t="shared" si="1"/>
        <v>46.777777777777771</v>
      </c>
      <c r="I10" s="6">
        <f t="shared" si="2"/>
        <v>-56.142857142857139</v>
      </c>
    </row>
    <row r="11" spans="1:10" x14ac:dyDescent="0.25">
      <c r="A11">
        <v>180</v>
      </c>
      <c r="B11">
        <v>140</v>
      </c>
      <c r="C11">
        <v>6</v>
      </c>
      <c r="D11">
        <f t="shared" si="0"/>
        <v>10</v>
      </c>
      <c r="E11" s="1">
        <f t="shared" si="3"/>
        <v>87.1</v>
      </c>
      <c r="F11" s="1">
        <f>SUM(B12:$B$17)/C11</f>
        <v>191.5</v>
      </c>
      <c r="G11">
        <v>7290</v>
      </c>
      <c r="H11" s="6">
        <f t="shared" si="1"/>
        <v>58.777777777777771</v>
      </c>
      <c r="I11" s="11">
        <f t="shared" si="2"/>
        <v>-44.142857142857139</v>
      </c>
    </row>
    <row r="12" spans="1:10" x14ac:dyDescent="0.25">
      <c r="A12">
        <v>190</v>
      </c>
      <c r="B12">
        <v>180</v>
      </c>
      <c r="C12">
        <v>5</v>
      </c>
      <c r="D12">
        <f t="shared" si="0"/>
        <v>11</v>
      </c>
      <c r="E12" s="1">
        <f t="shared" si="3"/>
        <v>95.545454545454547</v>
      </c>
      <c r="F12" s="1">
        <f>SUM(B13:$B$17)/C12</f>
        <v>193.8</v>
      </c>
      <c r="G12">
        <v>14978</v>
      </c>
      <c r="H12" s="6">
        <f t="shared" si="1"/>
        <v>98.777777777777771</v>
      </c>
      <c r="I12" s="11">
        <f t="shared" si="2"/>
        <v>-4.1428571428571388</v>
      </c>
    </row>
    <row r="13" spans="1:10" x14ac:dyDescent="0.25">
      <c r="A13">
        <v>200</v>
      </c>
      <c r="B13">
        <v>189</v>
      </c>
      <c r="C13">
        <v>4</v>
      </c>
      <c r="D13">
        <f t="shared" si="0"/>
        <v>12</v>
      </c>
      <c r="E13" s="1">
        <f t="shared" si="3"/>
        <v>103.33333333333333</v>
      </c>
      <c r="F13" s="1">
        <f>SUM(B14:$B$17)/C13</f>
        <v>195</v>
      </c>
      <c r="G13">
        <v>22959</v>
      </c>
      <c r="H13" s="6">
        <f t="shared" si="1"/>
        <v>107.77777777777777</v>
      </c>
      <c r="I13" s="11">
        <f t="shared" si="2"/>
        <v>4.8571428571428612</v>
      </c>
    </row>
    <row r="14" spans="1:10" x14ac:dyDescent="0.25">
      <c r="A14">
        <v>140</v>
      </c>
      <c r="B14">
        <v>190</v>
      </c>
      <c r="C14">
        <v>3</v>
      </c>
      <c r="D14">
        <f t="shared" si="0"/>
        <v>13</v>
      </c>
      <c r="E14" s="1">
        <f t="shared" si="3"/>
        <v>110</v>
      </c>
      <c r="F14" s="1">
        <f>SUM(B15:$B$17)/C14</f>
        <v>196.66666666666666</v>
      </c>
      <c r="G14">
        <v>29855</v>
      </c>
      <c r="H14" s="6">
        <f t="shared" si="1"/>
        <v>108.77777777777777</v>
      </c>
      <c r="I14" s="11">
        <f t="shared" si="2"/>
        <v>5.8571428571428612</v>
      </c>
    </row>
    <row r="15" spans="1:10" x14ac:dyDescent="0.25">
      <c r="A15">
        <v>80</v>
      </c>
      <c r="B15">
        <v>190</v>
      </c>
      <c r="C15">
        <v>2</v>
      </c>
      <c r="D15">
        <f t="shared" si="0"/>
        <v>14</v>
      </c>
      <c r="E15" s="1">
        <f t="shared" si="3"/>
        <v>115.71428571428571</v>
      </c>
      <c r="F15" s="1">
        <f>SUM(B16:$B$17)/C15</f>
        <v>200</v>
      </c>
      <c r="G15">
        <v>35731</v>
      </c>
      <c r="H15" s="6">
        <f t="shared" si="1"/>
        <v>108.77777777777777</v>
      </c>
      <c r="I15" s="11">
        <f t="shared" si="2"/>
        <v>5.8571428571428612</v>
      </c>
    </row>
    <row r="16" spans="1:10" x14ac:dyDescent="0.25">
      <c r="A16">
        <v>200</v>
      </c>
      <c r="B16">
        <v>200</v>
      </c>
      <c r="C16">
        <v>1</v>
      </c>
      <c r="D16">
        <f t="shared" si="0"/>
        <v>15</v>
      </c>
      <c r="E16" s="1">
        <f t="shared" si="3"/>
        <v>121.33333333333333</v>
      </c>
      <c r="F16" s="1">
        <f>SUM(B17:$B$17)/C16</f>
        <v>200</v>
      </c>
      <c r="G16">
        <v>42361</v>
      </c>
      <c r="H16" s="6">
        <f t="shared" si="1"/>
        <v>118.77777777777777</v>
      </c>
      <c r="I16" s="11">
        <f t="shared" si="2"/>
        <v>15.857142857142861</v>
      </c>
    </row>
    <row r="17" spans="1:12" x14ac:dyDescent="0.25">
      <c r="A17">
        <v>190</v>
      </c>
      <c r="B17">
        <v>200</v>
      </c>
      <c r="E17" s="1"/>
      <c r="H17" s="6">
        <f t="shared" si="1"/>
        <v>118.77777777777777</v>
      </c>
      <c r="I17" s="11">
        <f t="shared" si="2"/>
        <v>15.857142857142861</v>
      </c>
    </row>
    <row r="18" spans="1:12" x14ac:dyDescent="0.25">
      <c r="H18" s="8"/>
      <c r="I18" s="8"/>
    </row>
    <row r="22" spans="1:12" x14ac:dyDescent="0.25">
      <c r="A22" s="4" t="s">
        <v>7</v>
      </c>
      <c r="B22" s="4"/>
      <c r="C22" s="3"/>
      <c r="D22" s="3"/>
      <c r="E22" s="3"/>
      <c r="F22" s="3"/>
      <c r="G22" s="3"/>
      <c r="H22" s="10"/>
      <c r="I22" s="10"/>
      <c r="J22" s="10"/>
      <c r="K22" s="3"/>
      <c r="L22" s="3"/>
    </row>
    <row r="23" spans="1:12" x14ac:dyDescent="0.25">
      <c r="A23" s="3"/>
      <c r="B23" s="3" t="s">
        <v>16</v>
      </c>
      <c r="C23" s="3"/>
      <c r="D23" s="3"/>
      <c r="E23" s="3"/>
      <c r="F23" s="3"/>
      <c r="G23" s="3"/>
      <c r="H23" s="10"/>
      <c r="I23" s="10"/>
      <c r="J23" s="10"/>
      <c r="K23" s="3"/>
      <c r="L23" s="3"/>
    </row>
    <row r="24" spans="1:12" x14ac:dyDescent="0.25">
      <c r="A24" s="3"/>
      <c r="B24" s="3" t="s">
        <v>25</v>
      </c>
      <c r="C24" s="3"/>
      <c r="D24" s="3"/>
      <c r="E24" s="3"/>
      <c r="F24" s="3"/>
      <c r="G24" s="3"/>
      <c r="H24" s="10"/>
      <c r="I24" s="10"/>
      <c r="J24" s="10"/>
      <c r="K24" s="3"/>
      <c r="L24" s="3"/>
    </row>
    <row r="25" spans="1:12" x14ac:dyDescent="0.25">
      <c r="A25" s="3"/>
      <c r="B25" s="3" t="s">
        <v>15</v>
      </c>
      <c r="C25" s="3"/>
      <c r="D25" s="3"/>
      <c r="E25" s="3"/>
      <c r="F25" s="3"/>
      <c r="G25" s="3"/>
      <c r="H25" s="10"/>
      <c r="I25" s="10"/>
      <c r="J25" s="10"/>
      <c r="K25" s="3"/>
      <c r="L25" s="3"/>
    </row>
    <row r="26" spans="1:12" x14ac:dyDescent="0.25">
      <c r="A26" s="3"/>
      <c r="B26" s="3" t="s">
        <v>24</v>
      </c>
      <c r="C26" s="3"/>
      <c r="D26" s="3"/>
      <c r="E26" s="3"/>
      <c r="F26" s="3"/>
      <c r="G26" s="3"/>
      <c r="H26" s="10"/>
      <c r="I26" s="10"/>
      <c r="J26" s="10"/>
      <c r="K26" s="3"/>
      <c r="L26" s="3"/>
    </row>
    <row r="27" spans="1:12" x14ac:dyDescent="0.25">
      <c r="A27" s="3"/>
      <c r="B27" s="3" t="s">
        <v>19</v>
      </c>
      <c r="C27" s="3"/>
      <c r="D27" s="3"/>
      <c r="E27" s="3"/>
      <c r="F27" s="3"/>
      <c r="G27" s="3"/>
      <c r="H27" s="10"/>
      <c r="I27" s="10"/>
      <c r="J27" s="10"/>
      <c r="K27" s="3"/>
      <c r="L27" s="3"/>
    </row>
    <row r="28" spans="1:12" x14ac:dyDescent="0.25">
      <c r="A28" s="3"/>
      <c r="B28" s="3" t="s">
        <v>17</v>
      </c>
      <c r="C28" s="3"/>
      <c r="D28" s="3"/>
      <c r="E28" s="3"/>
      <c r="F28" s="3"/>
      <c r="G28" s="3"/>
      <c r="H28" s="10"/>
      <c r="I28" s="10"/>
      <c r="J28" s="10"/>
      <c r="K28" s="3"/>
      <c r="L28" s="3"/>
    </row>
  </sheetData>
  <pageMargins left="0.7" right="0.7" top="0.75" bottom="0.75" header="0.3" footer="0.3"/>
  <pageSetup orientation="portrait" r:id="rId1"/>
  <ignoredErrors>
    <ignoredError sqref="F2:F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4"/>
  <sheetViews>
    <sheetView tabSelected="1" topLeftCell="A2" workbookViewId="0">
      <selection activeCell="A12" sqref="A12"/>
    </sheetView>
  </sheetViews>
  <sheetFormatPr baseColWidth="10" defaultColWidth="11.42578125" defaultRowHeight="15" x14ac:dyDescent="0.25"/>
  <sheetData>
    <row r="2" spans="1:2" x14ac:dyDescent="0.25">
      <c r="A2" t="s">
        <v>31</v>
      </c>
    </row>
    <row r="3" spans="1:2" x14ac:dyDescent="0.25">
      <c r="A3" t="s">
        <v>26</v>
      </c>
    </row>
    <row r="4" spans="1:2" x14ac:dyDescent="0.25">
      <c r="A4" s="12" t="s">
        <v>27</v>
      </c>
      <c r="B4" s="13"/>
    </row>
    <row r="5" spans="1:2" x14ac:dyDescent="0.25">
      <c r="A5" s="14" t="s">
        <v>28</v>
      </c>
      <c r="B5" s="15"/>
    </row>
    <row r="6" spans="1:2" x14ac:dyDescent="0.25">
      <c r="A6" t="s">
        <v>26</v>
      </c>
    </row>
    <row r="7" spans="1:2" x14ac:dyDescent="0.25">
      <c r="A7" t="s">
        <v>32</v>
      </c>
    </row>
    <row r="8" spans="1:2" x14ac:dyDescent="0.25">
      <c r="A8" t="s">
        <v>26</v>
      </c>
    </row>
    <row r="9" spans="1:2" x14ac:dyDescent="0.25">
      <c r="A9" s="16" t="s">
        <v>29</v>
      </c>
    </row>
    <row r="10" spans="1:2" x14ac:dyDescent="0.25">
      <c r="A10" s="17" t="s">
        <v>30</v>
      </c>
    </row>
    <row r="11" spans="1:2" x14ac:dyDescent="0.25">
      <c r="A11" t="s">
        <v>26</v>
      </c>
    </row>
    <row r="12" spans="1:2" x14ac:dyDescent="0.25">
      <c r="A12" t="s">
        <v>33</v>
      </c>
    </row>
    <row r="14" spans="1:2" s="3" customFormat="1" x14ac:dyDescent="0.25">
      <c r="A14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Problème 1</vt:lpstr>
      <vt:lpstr>Problème 2</vt:lpstr>
      <vt:lpstr>Problème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Gournay</dc:creator>
  <cp:lastModifiedBy>Philippe Gournay</cp:lastModifiedBy>
  <dcterms:created xsi:type="dcterms:W3CDTF">2014-01-31T16:42:35Z</dcterms:created>
  <dcterms:modified xsi:type="dcterms:W3CDTF">2026-09-22T20:33:41Z</dcterms:modified>
</cp:coreProperties>
</file>