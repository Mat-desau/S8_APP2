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_ARCHIVE_U2S\4. Cours\Charges de cours\S7 - Codage de l'information\HI2025\APP2 - Quantification\H25 - Documents\3. Proceduraux\"/>
    </mc:Choice>
  </mc:AlternateContent>
  <xr:revisionPtr revIDLastSave="0" documentId="13_ncr:1_{1CF8D27D-7CD5-43D0-85D5-4CD7D7F9A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blème 1 (Interpolation)" sheetId="3" r:id="rId1"/>
    <sheet name="Problème 2 (Q. Unif.)" sheetId="1" r:id="rId2"/>
    <sheet name="Problème 3 (DPCM)" sheetId="2" r:id="rId3"/>
    <sheet name="Problème 4 (LBG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2" l="1"/>
  <c r="P7" i="2"/>
  <c r="L41" i="4" l="1"/>
  <c r="L40" i="4"/>
  <c r="L39" i="4"/>
  <c r="L38" i="4"/>
  <c r="L37" i="4"/>
  <c r="L36" i="4"/>
  <c r="L35" i="4"/>
  <c r="L34" i="4"/>
  <c r="K35" i="4"/>
  <c r="K36" i="4"/>
  <c r="K37" i="4"/>
  <c r="K38" i="4"/>
  <c r="K39" i="4"/>
  <c r="K40" i="4"/>
  <c r="K41" i="4"/>
  <c r="K34" i="4"/>
  <c r="K42" i="4" s="1"/>
  <c r="B2" i="1" l="1"/>
  <c r="C2" i="1"/>
  <c r="F3" i="2" l="1"/>
  <c r="K3" i="2" s="1"/>
  <c r="F4" i="2"/>
  <c r="K4" i="2" s="1"/>
  <c r="F5" i="2"/>
  <c r="K5" i="2" s="1"/>
  <c r="G2" i="2"/>
  <c r="L2" i="2" s="1"/>
  <c r="H2" i="2"/>
  <c r="M2" i="2" s="1"/>
  <c r="I2" i="2"/>
  <c r="N2" i="2" s="1"/>
  <c r="F2" i="2"/>
  <c r="K2" i="2" s="1"/>
  <c r="G4" i="2"/>
  <c r="L4" i="2" s="1"/>
  <c r="H4" i="2"/>
  <c r="M4" i="2" s="1"/>
  <c r="I4" i="2"/>
  <c r="N4" i="2" s="1"/>
  <c r="G5" i="2"/>
  <c r="L5" i="2" s="1"/>
  <c r="H5" i="2"/>
  <c r="M5" i="2" s="1"/>
  <c r="I5" i="2"/>
  <c r="N5" i="2" s="1"/>
  <c r="H3" i="2"/>
  <c r="M3" i="2" s="1"/>
  <c r="I3" i="2"/>
  <c r="N3" i="2" s="1"/>
  <c r="G3" i="2"/>
  <c r="L3" i="2" s="1"/>
  <c r="Q1" i="2" l="1"/>
  <c r="Q2" i="2"/>
  <c r="D3" i="1"/>
  <c r="G3" i="1" s="1"/>
  <c r="H3" i="1" l="1"/>
  <c r="I3" i="1" s="1"/>
  <c r="D11" i="1"/>
  <c r="G11" i="1" s="1"/>
  <c r="D17" i="1"/>
  <c r="G17" i="1" s="1"/>
  <c r="D9" i="1"/>
  <c r="G9" i="1" s="1"/>
  <c r="D2" i="1"/>
  <c r="G2" i="1" s="1"/>
  <c r="D16" i="1"/>
  <c r="G16" i="1" s="1"/>
  <c r="D15" i="1"/>
  <c r="G15" i="1" s="1"/>
  <c r="D5" i="1"/>
  <c r="G5" i="1" s="1"/>
  <c r="D13" i="1"/>
  <c r="G13" i="1" s="1"/>
  <c r="D4" i="1"/>
  <c r="G4" i="1" s="1"/>
  <c r="D8" i="1"/>
  <c r="G8" i="1" s="1"/>
  <c r="D7" i="1"/>
  <c r="G7" i="1" s="1"/>
  <c r="D6" i="1"/>
  <c r="G6" i="1" s="1"/>
  <c r="D14" i="1"/>
  <c r="G14" i="1" s="1"/>
  <c r="D12" i="1"/>
  <c r="G12" i="1" s="1"/>
  <c r="D10" i="1"/>
  <c r="G10" i="1" s="1"/>
  <c r="H17" i="1" l="1"/>
  <c r="I17" i="1" s="1"/>
  <c r="H15" i="1"/>
  <c r="I15" i="1" s="1"/>
  <c r="H9" i="1"/>
  <c r="I9" i="1" s="1"/>
  <c r="H12" i="1"/>
  <c r="I12" i="1" s="1"/>
  <c r="H6" i="1"/>
  <c r="I6" i="1" s="1"/>
  <c r="H7" i="1"/>
  <c r="I7" i="1" s="1"/>
  <c r="H13" i="1"/>
  <c r="I13" i="1" s="1"/>
  <c r="H14" i="1"/>
  <c r="I14" i="1" s="1"/>
  <c r="H16" i="1"/>
  <c r="I16" i="1" s="1"/>
  <c r="H2" i="1"/>
  <c r="I2" i="1" s="1"/>
  <c r="H8" i="1"/>
  <c r="I8" i="1" s="1"/>
  <c r="H4" i="1"/>
  <c r="I4" i="1" s="1"/>
  <c r="H11" i="1"/>
  <c r="I11" i="1" s="1"/>
  <c r="H10" i="1"/>
  <c r="I10" i="1" s="1"/>
  <c r="H5" i="1"/>
  <c r="I5" i="1" s="1"/>
</calcChain>
</file>

<file path=xl/sharedStrings.xml><?xml version="1.0" encoding="utf-8"?>
<sst xmlns="http://schemas.openxmlformats.org/spreadsheetml/2006/main" count="170" uniqueCount="100">
  <si>
    <t>Is</t>
  </si>
  <si>
    <t>Moyenne</t>
  </si>
  <si>
    <t>Ecart type</t>
  </si>
  <si>
    <t>Valeur centrée, réduite</t>
  </si>
  <si>
    <t>Pas de Q.</t>
  </si>
  <si>
    <t>Nb niveaux</t>
  </si>
  <si>
    <t>Q(Is)</t>
  </si>
  <si>
    <t>Q. Ind.</t>
  </si>
  <si>
    <t>Q'(Is)</t>
  </si>
  <si>
    <t>Image source</t>
  </si>
  <si>
    <t>Image prédite % source</t>
  </si>
  <si>
    <t>Erreur</t>
  </si>
  <si>
    <t>Ecart type err. :</t>
  </si>
  <si>
    <t>Moyenne erreur :</t>
  </si>
  <si>
    <t>Interpolation par le plus proche voisin :</t>
  </si>
  <si>
    <t>Interpolation bilinéaire :</t>
  </si>
  <si>
    <t>a) Dictionnaire initial :</t>
  </si>
  <si>
    <t>Index</t>
  </si>
  <si>
    <t>Code</t>
  </si>
  <si>
    <t>Centroïde</t>
  </si>
  <si>
    <t>(96, 128)</t>
  </si>
  <si>
    <t>(160, 128)</t>
  </si>
  <si>
    <t>(224, 128)</t>
  </si>
  <si>
    <t>b) Groupement en paires :</t>
  </si>
  <si>
    <t>Vecteurs</t>
  </si>
  <si>
    <t>c) Association :</t>
  </si>
  <si>
    <t>d) Calcul des nouveaux centroïdes :</t>
  </si>
  <si>
    <t>(48, 69)</t>
  </si>
  <si>
    <t>(92, 134)</t>
  </si>
  <si>
    <t>(165, 140)</t>
  </si>
  <si>
    <t>(200, 190)</t>
  </si>
  <si>
    <t>e) Quantification :</t>
  </si>
  <si>
    <t>Paire</t>
  </si>
  <si>
    <t>I_encoded</t>
  </si>
  <si>
    <t>I_decoded</t>
  </si>
  <si>
    <t>f) MSE = 1315.3</t>
  </si>
  <si>
    <t>g) Itération 2 :</t>
  </si>
  <si>
    <t>Association :</t>
  </si>
  <si>
    <t>Calcul des nouveaux centroïdes :</t>
  </si>
  <si>
    <t>(66, 78)</t>
  </si>
  <si>
    <t>(90, 180)</t>
  </si>
  <si>
    <t>(134, 135)</t>
  </si>
  <si>
    <t>(195, 195)</t>
  </si>
  <si>
    <t>Quantification :</t>
  </si>
  <si>
    <t>Final: MSE = 440.25</t>
  </si>
  <si>
    <t>(0, 0)</t>
  </si>
  <si>
    <t>(0, 1)</t>
  </si>
  <si>
    <t>(1, 0)</t>
  </si>
  <si>
    <t>(1, 1)</t>
  </si>
  <si>
    <t>(65,76)</t>
  </si>
  <si>
    <t>(86,89)</t>
  </si>
  <si>
    <t>(48,69)</t>
  </si>
  <si>
    <t>(128,189)</t>
  </si>
  <si>
    <t>(90,180)</t>
  </si>
  <si>
    <t>(190,200)</t>
  </si>
  <si>
    <t>(140,80)</t>
  </si>
  <si>
    <t>(200,190)</t>
  </si>
  <si>
    <t>(32,128)</t>
  </si>
  <si>
    <t>MSE:</t>
  </si>
  <si>
    <t>Reste à faire:</t>
  </si>
  <si>
    <t>Quantifier Moyenne et Ecart type (par exemple prendre la partie entière et coder sur 8 bits)</t>
  </si>
  <si>
    <r>
      <t xml:space="preserve">Boucle de codage (prédiction à partir des </t>
    </r>
    <r>
      <rPr>
        <b/>
        <u/>
        <sz val="11"/>
        <color theme="1"/>
        <rFont val="Calibri"/>
        <family val="2"/>
        <scheme val="minor"/>
      </rPr>
      <t>pixels décodés</t>
    </r>
    <r>
      <rPr>
        <b/>
        <sz val="11"/>
        <color theme="1"/>
        <rFont val="Calibri"/>
        <family val="2"/>
        <scheme val="minor"/>
      </rPr>
      <t>, calcul erreur, quantification scalaire, etc.)</t>
    </r>
  </si>
  <si>
    <t>Assurez vous de pouvoir réduire ou augmenter les dimensions de l'image</t>
  </si>
  <si>
    <r>
      <rPr>
        <b/>
        <u/>
        <sz val="11"/>
        <color theme="1"/>
        <rFont val="Calibri"/>
        <family val="2"/>
        <scheme val="minor"/>
      </rPr>
      <t>Bug le plus fréquent :</t>
    </r>
    <r>
      <rPr>
        <b/>
        <sz val="11"/>
        <color theme="1"/>
        <rFont val="Calibri"/>
        <family val="2"/>
        <scheme val="minor"/>
      </rPr>
      <t xml:space="preserve"> sortir des limites de l'image d'origine</t>
    </r>
  </si>
  <si>
    <r>
      <rPr>
        <b/>
        <u/>
        <sz val="11"/>
        <color theme="1"/>
        <rFont val="Calibri"/>
        <family val="2"/>
        <scheme val="minor"/>
      </rPr>
      <t>Bug le plus fréquent :</t>
    </r>
    <r>
      <rPr>
        <b/>
        <sz val="11"/>
        <color theme="1"/>
        <rFont val="Calibri"/>
        <family val="2"/>
        <scheme val="minor"/>
      </rPr>
      <t xml:space="preserve"> ne pas suivre le schéma bloc !</t>
    </r>
  </si>
  <si>
    <t>Attention : pensez à gérer les classes "vides" : centroïde non utilisé =&gt; division par 0 en d) !</t>
  </si>
  <si>
    <t>Essayez de représenter votre nuage de points (vecteurs), ainsi que l'évolution de vos centroïde et des régions de Voronoi correspondantes (fonction Matlab Voronoi)</t>
  </si>
  <si>
    <t>Itérez jusqu'à un critère d'arrêt de votre choix (nombre d'itération max, évolution de MSE, classes ne changent plus, etc.)</t>
  </si>
  <si>
    <t>Attention: la moyenne et la variance devraient être quantifiées</t>
  </si>
  <si>
    <r>
      <rPr>
        <b/>
        <u/>
        <sz val="11"/>
        <color theme="1"/>
        <rFont val="Calibri"/>
        <family val="2"/>
        <scheme val="minor"/>
      </rPr>
      <t>Bug le plus fréquent :</t>
    </r>
    <r>
      <rPr>
        <b/>
        <sz val="11"/>
        <color theme="1"/>
        <rFont val="Calibri"/>
        <family val="2"/>
        <scheme val="minor"/>
      </rPr>
      <t xml:space="preserve"> utiliser des indices de quantification négatifs ou plus grand que le nombre maximal autorisé</t>
    </r>
  </si>
  <si>
    <t>On code/décode (prédiction, calcul erreur, quantification erreur, reconstruction du pixel) un pixel à la fois "au complet", AVANT de passer au suivant</t>
  </si>
  <si>
    <t>d)</t>
  </si>
  <si>
    <r>
      <t>Niveaux de reconstruction = [</t>
    </r>
    <r>
      <rPr>
        <b/>
        <sz val="11"/>
        <color theme="1"/>
        <rFont val="Calibri"/>
        <family val="2"/>
        <scheme val="minor"/>
      </rPr>
      <t>-3.4568, -2.9958, -2.5350, -2.0741, -1.6132, -1.1523, -0.6914, -0.2305, 0.2305, 0.6914, 1.1523, 1.6132, 2.0741, 2.5350, 2.9958, 3.4568]</t>
    </r>
  </si>
  <si>
    <r>
      <t>Valeurs seuils = [</t>
    </r>
    <r>
      <rPr>
        <b/>
        <sz val="11"/>
        <color theme="1"/>
        <rFont val="Calibri"/>
        <family val="2"/>
        <scheme val="minor"/>
      </rPr>
      <t>-Inf, -3.2263, -2.7654, -2.3045, -1.8436, -1.3827, -0.9218, -0.4609, 0, 0.4609, 0.9218, 1.3827, 1.8436, 2.3045, 2.7654, 3.2263, +Inf]</t>
    </r>
  </si>
  <si>
    <t>i)</t>
  </si>
  <si>
    <t>Penser à transmettre la première ligne et la première colonne en métadonnées pour pouvoir lancer le prédicteur</t>
  </si>
  <si>
    <r>
      <t xml:space="preserve">f) pB = </t>
    </r>
    <r>
      <rPr>
        <b/>
        <sz val="11"/>
        <color theme="1"/>
        <rFont val="Calibri"/>
        <family val="2"/>
        <scheme val="minor"/>
      </rPr>
      <t>77.4064</t>
    </r>
  </si>
  <si>
    <r>
      <t xml:space="preserve">e) En normalisant avec moyenne_q = </t>
    </r>
    <r>
      <rPr>
        <b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 xml:space="preserve"> et sigma_q = </t>
    </r>
    <r>
      <rPr>
        <b/>
        <sz val="11"/>
        <color theme="1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 xml:space="preserve">:      eA = 62-69 = </t>
    </r>
    <r>
      <rPr>
        <b/>
        <sz val="11"/>
        <color theme="1"/>
        <rFont val="Calibri"/>
        <family val="2"/>
        <scheme val="minor"/>
      </rPr>
      <t>7.0</t>
    </r>
    <r>
      <rPr>
        <sz val="11"/>
        <color theme="1"/>
        <rFont val="Calibri"/>
        <family val="2"/>
        <scheme val="minor"/>
      </rPr>
      <t xml:space="preserve">      eAn = (eA-40)/48 = </t>
    </r>
    <r>
      <rPr>
        <b/>
        <sz val="11"/>
        <color theme="1"/>
        <rFont val="Calibri"/>
        <family val="2"/>
        <scheme val="minor"/>
      </rPr>
      <t>-0.6875</t>
    </r>
    <r>
      <rPr>
        <sz val="11"/>
        <color theme="1"/>
        <rFont val="Calibri"/>
        <family val="2"/>
        <scheme val="minor"/>
      </rPr>
      <t xml:space="preserve">      eAnq = </t>
    </r>
    <r>
      <rPr>
        <b/>
        <sz val="11"/>
        <color theme="1"/>
        <rFont val="Calibri"/>
        <family val="2"/>
        <scheme val="minor"/>
      </rPr>
      <t>-0.6914</t>
    </r>
    <r>
      <rPr>
        <sz val="11"/>
        <color theme="1"/>
        <rFont val="Calibri"/>
        <family val="2"/>
        <scheme val="minor"/>
      </rPr>
      <t xml:space="preserve">      eAQ = (eAnq*48+40) = </t>
    </r>
    <r>
      <rPr>
        <b/>
        <sz val="11"/>
        <color theme="1"/>
        <rFont val="Calibri"/>
        <family val="2"/>
        <scheme val="minor"/>
      </rPr>
      <t>6.8128</t>
    </r>
    <r>
      <rPr>
        <sz val="11"/>
        <color theme="1"/>
        <rFont val="Calibri"/>
        <family val="2"/>
        <scheme val="minor"/>
      </rPr>
      <t xml:space="preserve">      A = </t>
    </r>
    <r>
      <rPr>
        <b/>
        <sz val="11"/>
        <color theme="1"/>
        <rFont val="Calibri"/>
        <family val="2"/>
        <scheme val="minor"/>
      </rPr>
      <t>68.8128</t>
    </r>
  </si>
  <si>
    <r>
      <t xml:space="preserve">g) eB = </t>
    </r>
    <r>
      <rPr>
        <b/>
        <sz val="11"/>
        <color theme="1"/>
        <rFont val="Calibri"/>
        <family val="2"/>
        <scheme val="minor"/>
      </rPr>
      <t>50.5936</t>
    </r>
    <r>
      <rPr>
        <sz val="11"/>
        <color theme="1"/>
        <rFont val="Calibri"/>
        <family val="2"/>
        <scheme val="minor"/>
      </rPr>
      <t xml:space="preserve">      eBn = </t>
    </r>
    <r>
      <rPr>
        <b/>
        <sz val="11"/>
        <color theme="1"/>
        <rFont val="Calibri"/>
        <family val="2"/>
        <scheme val="minor"/>
      </rPr>
      <t>0.2207</t>
    </r>
    <r>
      <rPr>
        <sz val="11"/>
        <color theme="1"/>
        <rFont val="Calibri"/>
        <family val="2"/>
        <scheme val="minor"/>
      </rPr>
      <t xml:space="preserve">      eBnq = </t>
    </r>
    <r>
      <rPr>
        <b/>
        <sz val="11"/>
        <color theme="1"/>
        <rFont val="Calibri"/>
        <family val="2"/>
        <scheme val="minor"/>
      </rPr>
      <t>0.2305</t>
    </r>
    <r>
      <rPr>
        <sz val="11"/>
        <color theme="1"/>
        <rFont val="Calibri"/>
        <family val="2"/>
        <scheme val="minor"/>
      </rPr>
      <t/>
    </r>
  </si>
  <si>
    <r>
      <t xml:space="preserve">h) eBq = </t>
    </r>
    <r>
      <rPr>
        <b/>
        <sz val="11"/>
        <color theme="1"/>
        <rFont val="Calibri"/>
        <family val="2"/>
        <scheme val="minor"/>
      </rPr>
      <t>51.0640</t>
    </r>
    <r>
      <rPr>
        <sz val="11"/>
        <color theme="1"/>
        <rFont val="Calibri"/>
        <family val="2"/>
        <scheme val="minor"/>
      </rPr>
      <t xml:space="preserve">      B = </t>
    </r>
    <r>
      <rPr>
        <b/>
        <sz val="11"/>
        <color theme="1"/>
        <rFont val="Calibri"/>
        <family val="2"/>
        <scheme val="minor"/>
      </rPr>
      <t>128.4704</t>
    </r>
  </si>
  <si>
    <t>68.8128</t>
  </si>
  <si>
    <t>128.4704</t>
  </si>
  <si>
    <t>180.4224</t>
  </si>
  <si>
    <t>186.4336</t>
  </si>
  <si>
    <t>200.8104</t>
  </si>
  <si>
    <t>193.5764</t>
  </si>
  <si>
    <t>78.6600</t>
  </si>
  <si>
    <t>190.7992</t>
  </si>
  <si>
    <t>180.4944</t>
  </si>
  <si>
    <t>65.0000</t>
  </si>
  <si>
    <t>76.0000</t>
  </si>
  <si>
    <t>86.0000</t>
  </si>
  <si>
    <t>89.0000</t>
  </si>
  <si>
    <t>48.0000</t>
  </si>
  <si>
    <t>90.0000</t>
  </si>
  <si>
    <t>140.0000</t>
  </si>
  <si>
    <t>A représenter sur 8 bits évidemment… le résultat obtenu va différer selon que vous convertissez en entier dans la boucle de décodage, ou bien à la toute fin du décodage de la matrice</t>
  </si>
  <si>
    <t>L'association entre les vecteurs et les centroïdes nécessite une double boucle et de nombreux calculs de distances euclidiennes qui ne sont pas détaillés ici</t>
  </si>
  <si>
    <t>Bien penser à refaire la classification lors de la quantification !</t>
  </si>
  <si>
    <t>Vous pourriez obtenir des résultats légèrement différents…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</si>
</sst>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1" fontId="2" fillId="0" borderId="3" xfId="0" applyNumberFormat="1" applyFont="1" applyBorder="1" applyAlignment="1">
      <alignment vertical="center"/>
    </xf>
    <xf numFmtId="1" fontId="2" fillId="0" borderId="4" xfId="0" applyNumberFormat="1" applyFont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2" fontId="0" fillId="0" borderId="0" xfId="0" applyNumberFormat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164" fontId="7" fillId="3" borderId="1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4" fontId="7" fillId="3" borderId="6" xfId="0" applyNumberFormat="1" applyFont="1" applyFill="1" applyBorder="1" applyAlignment="1">
      <alignment horizontal="center" vertical="center"/>
    </xf>
    <xf numFmtId="164" fontId="7" fillId="3" borderId="7" xfId="0" applyNumberFormat="1" applyFont="1" applyFill="1" applyBorder="1" applyAlignment="1">
      <alignment horizontal="center" vertical="center"/>
    </xf>
    <xf numFmtId="164" fontId="7" fillId="3" borderId="8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5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164" fontId="0" fillId="0" borderId="0" xfId="0" applyNumberFormat="1"/>
    <xf numFmtId="0" fontId="2" fillId="2" borderId="0" xfId="0" applyFont="1" applyFill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7" xfId="0" applyFill="1" applyBorder="1" applyAlignment="1">
      <alignment horizontal="center"/>
    </xf>
    <xf numFmtId="0" fontId="2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7" sqref="A17"/>
    </sheetView>
  </sheetViews>
  <sheetFormatPr baseColWidth="10" defaultColWidth="11.42578125" defaultRowHeight="15" x14ac:dyDescent="0.25"/>
  <sheetData>
    <row r="1" spans="1:6" x14ac:dyDescent="0.25">
      <c r="A1" t="s">
        <v>14</v>
      </c>
    </row>
    <row r="2" spans="1:6" ht="15.75" thickBot="1" x14ac:dyDescent="0.3"/>
    <row r="3" spans="1:6" ht="15.75" thickBot="1" x14ac:dyDescent="0.3">
      <c r="B3" s="17">
        <v>65</v>
      </c>
      <c r="C3" s="18">
        <v>86</v>
      </c>
      <c r="D3" s="18">
        <v>89</v>
      </c>
    </row>
    <row r="4" spans="1:6" ht="15.75" thickBot="1" x14ac:dyDescent="0.3">
      <c r="B4" s="19">
        <v>90</v>
      </c>
      <c r="C4" s="20">
        <v>190</v>
      </c>
      <c r="D4" s="20">
        <v>200</v>
      </c>
    </row>
    <row r="5" spans="1:6" ht="15.75" thickBot="1" x14ac:dyDescent="0.3">
      <c r="B5" s="19">
        <v>140</v>
      </c>
      <c r="C5" s="20">
        <v>200</v>
      </c>
      <c r="D5" s="20">
        <v>190</v>
      </c>
    </row>
    <row r="8" spans="1:6" x14ac:dyDescent="0.25">
      <c r="A8" t="s">
        <v>15</v>
      </c>
    </row>
    <row r="9" spans="1:6" ht="15.75" thickBot="1" x14ac:dyDescent="0.3"/>
    <row r="10" spans="1:6" ht="15.75" thickBot="1" x14ac:dyDescent="0.3">
      <c r="B10" s="17">
        <v>64</v>
      </c>
      <c r="C10" s="18">
        <v>91</v>
      </c>
      <c r="D10" s="18">
        <v>122</v>
      </c>
    </row>
    <row r="11" spans="1:6" ht="15.75" thickBot="1" x14ac:dyDescent="0.3">
      <c r="B11" s="19">
        <v>98</v>
      </c>
      <c r="C11" s="20">
        <v>160</v>
      </c>
      <c r="D11" s="20">
        <v>196</v>
      </c>
    </row>
    <row r="12" spans="1:6" ht="15.75" thickBot="1" x14ac:dyDescent="0.3">
      <c r="B12" s="19">
        <v>120</v>
      </c>
      <c r="C12" s="20">
        <v>160</v>
      </c>
      <c r="D12" s="20">
        <v>190</v>
      </c>
    </row>
    <row r="14" spans="1:6" x14ac:dyDescent="0.25">
      <c r="A14" s="46" t="s">
        <v>99</v>
      </c>
      <c r="B14" s="46"/>
      <c r="C14" s="46"/>
      <c r="D14" s="46"/>
      <c r="E14" s="46"/>
      <c r="F14" s="46"/>
    </row>
    <row r="15" spans="1:6" x14ac:dyDescent="0.25">
      <c r="A15" s="24" t="s">
        <v>62</v>
      </c>
      <c r="B15" s="24"/>
      <c r="C15" s="24"/>
      <c r="D15" s="24"/>
      <c r="E15" s="24"/>
      <c r="F15" s="24"/>
    </row>
    <row r="16" spans="1:6" x14ac:dyDescent="0.25">
      <c r="A16" s="24" t="s">
        <v>63</v>
      </c>
      <c r="B16" s="24"/>
      <c r="C16" s="24"/>
      <c r="D16" s="24"/>
      <c r="E16" s="24"/>
      <c r="F1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I2" sqref="I2"/>
    </sheetView>
  </sheetViews>
  <sheetFormatPr baseColWidth="10" defaultColWidth="11.42578125" defaultRowHeight="15" x14ac:dyDescent="0.25"/>
  <cols>
    <col min="4" max="4" width="26.57031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</row>
    <row r="2" spans="1:9" x14ac:dyDescent="0.25">
      <c r="A2">
        <v>65</v>
      </c>
      <c r="B2">
        <f>AVERAGE(A:A)</f>
        <v>126.25</v>
      </c>
      <c r="C2">
        <f>_xlfn.STDEV.P(A:A)</f>
        <v>54.865175658153142</v>
      </c>
      <c r="D2">
        <f>(A2-$B$2)/$C$2</f>
        <v>-1.1163729864209055</v>
      </c>
      <c r="E2">
        <v>0.58599999999999997</v>
      </c>
      <c r="F2">
        <v>8</v>
      </c>
      <c r="G2">
        <f>INT($F$2/2+D2/$E$2)</f>
        <v>2</v>
      </c>
      <c r="H2">
        <f>G2*$E$2-($F$2-1)*$E$2/2</f>
        <v>-0.87899999999999978</v>
      </c>
      <c r="I2">
        <f>H2*$C$2+$B$2</f>
        <v>78.023510596483391</v>
      </c>
    </row>
    <row r="3" spans="1:9" x14ac:dyDescent="0.25">
      <c r="A3">
        <v>76</v>
      </c>
      <c r="B3" s="1"/>
      <c r="C3" s="1"/>
      <c r="D3">
        <f t="shared" ref="D3:D17" si="0">(A3-$B$2)/$C$2</f>
        <v>-0.91588151130857975</v>
      </c>
      <c r="G3">
        <f t="shared" ref="G3:G17" si="1">INT($F$2/2+D3/$E$2)</f>
        <v>2</v>
      </c>
      <c r="H3">
        <f t="shared" ref="H3:H17" si="2">G3*$E$2-($F$2-1)*$E$2/2</f>
        <v>-0.87899999999999978</v>
      </c>
      <c r="I3">
        <f t="shared" ref="I3:I17" si="3">H3*$C$2+$B$2</f>
        <v>78.023510596483391</v>
      </c>
    </row>
    <row r="4" spans="1:9" x14ac:dyDescent="0.25">
      <c r="A4">
        <v>86</v>
      </c>
      <c r="D4">
        <f t="shared" si="0"/>
        <v>-0.73361653393373805</v>
      </c>
      <c r="G4">
        <f t="shared" si="1"/>
        <v>2</v>
      </c>
      <c r="H4">
        <f t="shared" si="2"/>
        <v>-0.87899999999999978</v>
      </c>
      <c r="I4">
        <f t="shared" si="3"/>
        <v>78.023510596483391</v>
      </c>
    </row>
    <row r="5" spans="1:9" x14ac:dyDescent="0.25">
      <c r="A5">
        <v>89</v>
      </c>
      <c r="D5">
        <f t="shared" si="0"/>
        <v>-0.67893704072128547</v>
      </c>
      <c r="G5">
        <f t="shared" si="1"/>
        <v>2</v>
      </c>
      <c r="H5">
        <f t="shared" si="2"/>
        <v>-0.87899999999999978</v>
      </c>
      <c r="I5">
        <f t="shared" si="3"/>
        <v>78.023510596483391</v>
      </c>
    </row>
    <row r="6" spans="1:9" x14ac:dyDescent="0.25">
      <c r="A6">
        <v>48</v>
      </c>
      <c r="D6">
        <f t="shared" si="0"/>
        <v>-1.4262234479581366</v>
      </c>
      <c r="G6">
        <f t="shared" si="1"/>
        <v>1</v>
      </c>
      <c r="H6">
        <f t="shared" si="2"/>
        <v>-1.4649999999999999</v>
      </c>
      <c r="I6">
        <f t="shared" si="3"/>
        <v>45.872517660805656</v>
      </c>
    </row>
    <row r="7" spans="1:9" x14ac:dyDescent="0.25">
      <c r="A7">
        <v>69</v>
      </c>
      <c r="D7">
        <f t="shared" si="0"/>
        <v>-1.043466995470969</v>
      </c>
      <c r="G7">
        <f t="shared" si="1"/>
        <v>2</v>
      </c>
      <c r="H7">
        <f t="shared" si="2"/>
        <v>-0.87899999999999978</v>
      </c>
      <c r="I7">
        <f t="shared" si="3"/>
        <v>78.023510596483391</v>
      </c>
    </row>
    <row r="8" spans="1:9" x14ac:dyDescent="0.25">
      <c r="A8">
        <v>128</v>
      </c>
      <c r="D8">
        <f t="shared" si="0"/>
        <v>3.1896371040597303E-2</v>
      </c>
      <c r="G8">
        <f t="shared" si="1"/>
        <v>4</v>
      </c>
      <c r="H8">
        <f t="shared" si="2"/>
        <v>0.29300000000000015</v>
      </c>
      <c r="I8">
        <f t="shared" si="3"/>
        <v>142.32549646783889</v>
      </c>
    </row>
    <row r="9" spans="1:9" x14ac:dyDescent="0.25">
      <c r="A9">
        <v>189</v>
      </c>
      <c r="D9">
        <f t="shared" si="0"/>
        <v>1.1437127330271319</v>
      </c>
      <c r="G9">
        <f t="shared" si="1"/>
        <v>5</v>
      </c>
      <c r="H9">
        <f t="shared" si="2"/>
        <v>0.879</v>
      </c>
      <c r="I9">
        <f t="shared" si="3"/>
        <v>174.47648940351661</v>
      </c>
    </row>
    <row r="10" spans="1:9" x14ac:dyDescent="0.25">
      <c r="A10">
        <v>90</v>
      </c>
      <c r="D10">
        <f t="shared" si="0"/>
        <v>-0.66071054298380127</v>
      </c>
      <c r="G10">
        <f t="shared" si="1"/>
        <v>2</v>
      </c>
      <c r="H10">
        <f t="shared" si="2"/>
        <v>-0.87899999999999978</v>
      </c>
      <c r="I10">
        <f t="shared" si="3"/>
        <v>78.023510596483391</v>
      </c>
    </row>
    <row r="11" spans="1:9" x14ac:dyDescent="0.25">
      <c r="A11">
        <v>180</v>
      </c>
      <c r="D11">
        <f t="shared" si="0"/>
        <v>0.97967425338977432</v>
      </c>
      <c r="G11">
        <f t="shared" si="1"/>
        <v>5</v>
      </c>
      <c r="H11">
        <f t="shared" si="2"/>
        <v>0.879</v>
      </c>
      <c r="I11">
        <f t="shared" si="3"/>
        <v>174.47648940351661</v>
      </c>
    </row>
    <row r="12" spans="1:9" x14ac:dyDescent="0.25">
      <c r="A12">
        <v>190</v>
      </c>
      <c r="D12">
        <f t="shared" si="0"/>
        <v>1.1619392307646161</v>
      </c>
      <c r="G12">
        <f t="shared" si="1"/>
        <v>5</v>
      </c>
      <c r="H12">
        <f t="shared" si="2"/>
        <v>0.879</v>
      </c>
      <c r="I12">
        <f t="shared" si="3"/>
        <v>174.47648940351661</v>
      </c>
    </row>
    <row r="13" spans="1:9" x14ac:dyDescent="0.25">
      <c r="A13">
        <v>200</v>
      </c>
      <c r="D13">
        <f t="shared" si="0"/>
        <v>1.3442042081394578</v>
      </c>
      <c r="G13">
        <f t="shared" si="1"/>
        <v>6</v>
      </c>
      <c r="H13">
        <f t="shared" si="2"/>
        <v>1.4650000000000003</v>
      </c>
      <c r="I13">
        <f t="shared" si="3"/>
        <v>206.62748233919439</v>
      </c>
    </row>
    <row r="14" spans="1:9" x14ac:dyDescent="0.25">
      <c r="A14">
        <v>140</v>
      </c>
      <c r="D14">
        <f t="shared" si="0"/>
        <v>0.25061434389040738</v>
      </c>
      <c r="G14">
        <f t="shared" si="1"/>
        <v>4</v>
      </c>
      <c r="H14">
        <f t="shared" si="2"/>
        <v>0.29300000000000015</v>
      </c>
      <c r="I14">
        <f t="shared" si="3"/>
        <v>142.32549646783889</v>
      </c>
    </row>
    <row r="15" spans="1:9" x14ac:dyDescent="0.25">
      <c r="A15">
        <v>80</v>
      </c>
      <c r="D15">
        <f t="shared" si="0"/>
        <v>-0.84297552035864298</v>
      </c>
      <c r="G15">
        <f t="shared" si="1"/>
        <v>2</v>
      </c>
      <c r="H15">
        <f t="shared" si="2"/>
        <v>-0.87899999999999978</v>
      </c>
      <c r="I15">
        <f t="shared" si="3"/>
        <v>78.023510596483391</v>
      </c>
    </row>
    <row r="16" spans="1:9" x14ac:dyDescent="0.25">
      <c r="A16">
        <v>200</v>
      </c>
      <c r="D16">
        <f t="shared" si="0"/>
        <v>1.3442042081394578</v>
      </c>
      <c r="G16">
        <f t="shared" si="1"/>
        <v>6</v>
      </c>
      <c r="H16">
        <f t="shared" si="2"/>
        <v>1.4650000000000003</v>
      </c>
      <c r="I16">
        <f t="shared" si="3"/>
        <v>206.62748233919439</v>
      </c>
    </row>
    <row r="17" spans="1:9" x14ac:dyDescent="0.25">
      <c r="A17">
        <v>190</v>
      </c>
      <c r="D17">
        <f t="shared" si="0"/>
        <v>1.1619392307646161</v>
      </c>
      <c r="G17">
        <f t="shared" si="1"/>
        <v>5</v>
      </c>
      <c r="H17">
        <f t="shared" si="2"/>
        <v>0.879</v>
      </c>
      <c r="I17">
        <f t="shared" si="3"/>
        <v>174.47648940351661</v>
      </c>
    </row>
    <row r="19" spans="1:9" x14ac:dyDescent="0.25">
      <c r="A19" s="24" t="s">
        <v>68</v>
      </c>
      <c r="B19" s="24"/>
      <c r="C19" s="24"/>
      <c r="D19" s="24"/>
      <c r="E19" s="24"/>
      <c r="F19" s="24"/>
      <c r="G19" s="24"/>
      <c r="H19" s="24"/>
    </row>
    <row r="20" spans="1:9" x14ac:dyDescent="0.25">
      <c r="A20" s="24" t="s">
        <v>69</v>
      </c>
      <c r="B20" s="24"/>
      <c r="C20" s="24"/>
      <c r="D20" s="24"/>
      <c r="E20" s="24"/>
      <c r="F20" s="24"/>
      <c r="G20" s="24"/>
      <c r="H20" s="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zoomScaleNormal="100" workbookViewId="0">
      <selection activeCell="H27" sqref="H27"/>
    </sheetView>
  </sheetViews>
  <sheetFormatPr baseColWidth="10" defaultColWidth="11.42578125" defaultRowHeight="15" x14ac:dyDescent="0.25"/>
  <cols>
    <col min="1" max="4" width="7.28515625" customWidth="1"/>
    <col min="6" max="9" width="7.28515625" customWidth="1"/>
    <col min="11" max="14" width="7.28515625" customWidth="1"/>
    <col min="15" max="15" width="3.5703125" customWidth="1"/>
    <col min="16" max="16" width="18.28515625" customWidth="1"/>
  </cols>
  <sheetData>
    <row r="1" spans="1:17" ht="15.75" thickBot="1" x14ac:dyDescent="0.3">
      <c r="A1" s="47" t="s">
        <v>9</v>
      </c>
      <c r="B1" s="47"/>
      <c r="C1" s="47"/>
      <c r="D1" s="47"/>
      <c r="F1" s="48" t="s">
        <v>10</v>
      </c>
      <c r="G1" s="48"/>
      <c r="H1" s="48"/>
      <c r="I1" s="48"/>
      <c r="K1" s="48" t="s">
        <v>11</v>
      </c>
      <c r="L1" s="48"/>
      <c r="M1" s="48"/>
      <c r="N1" s="48"/>
      <c r="P1" t="s">
        <v>13</v>
      </c>
      <c r="Q1" s="16">
        <f>AVERAGE(L3:N5)</f>
        <v>40.222222222222221</v>
      </c>
    </row>
    <row r="2" spans="1:17" ht="24" customHeight="1" x14ac:dyDescent="0.25">
      <c r="A2" s="2">
        <v>65</v>
      </c>
      <c r="B2" s="3">
        <v>76</v>
      </c>
      <c r="C2" s="3">
        <v>86</v>
      </c>
      <c r="D2" s="4">
        <v>89</v>
      </c>
      <c r="F2" s="11">
        <f>A2</f>
        <v>65</v>
      </c>
      <c r="G2" s="12">
        <f t="shared" ref="G2:I2" si="0">B2</f>
        <v>76</v>
      </c>
      <c r="H2" s="12">
        <f t="shared" si="0"/>
        <v>86</v>
      </c>
      <c r="I2" s="13">
        <f t="shared" si="0"/>
        <v>89</v>
      </c>
      <c r="K2" s="11">
        <f>A2-F2</f>
        <v>0</v>
      </c>
      <c r="L2" s="12">
        <f t="shared" ref="L2:N2" si="1">B2-G2</f>
        <v>0</v>
      </c>
      <c r="M2" s="12">
        <f t="shared" si="1"/>
        <v>0</v>
      </c>
      <c r="N2" s="13">
        <f t="shared" si="1"/>
        <v>0</v>
      </c>
      <c r="P2" t="s">
        <v>12</v>
      </c>
      <c r="Q2">
        <f>_xlfn.STDEV.P(L3:N5)</f>
        <v>47.52783459961536</v>
      </c>
    </row>
    <row r="3" spans="1:17" ht="24" customHeight="1" x14ac:dyDescent="0.25">
      <c r="A3" s="5">
        <v>48</v>
      </c>
      <c r="B3" s="6">
        <v>69</v>
      </c>
      <c r="C3" s="6">
        <v>128</v>
      </c>
      <c r="D3" s="7">
        <v>189</v>
      </c>
      <c r="F3" s="14">
        <f t="shared" ref="F3:F5" si="2">A3</f>
        <v>48</v>
      </c>
      <c r="G3" s="37">
        <f>MEDIAN((A3+B2)/2,(A2+B2)/2,(A2+A3)/2)</f>
        <v>62</v>
      </c>
      <c r="H3" s="37">
        <f t="shared" ref="H3:I3" si="3">MEDIAN((B3+C2)/2,(B2+C2)/2,(B2+B3)/2)</f>
        <v>77.5</v>
      </c>
      <c r="I3" s="38">
        <f t="shared" si="3"/>
        <v>107</v>
      </c>
      <c r="K3" s="14">
        <f t="shared" ref="K3:K5" si="4">A3-F3</f>
        <v>0</v>
      </c>
      <c r="L3" s="41">
        <f t="shared" ref="L3:L5" si="5">B3-G3</f>
        <v>7</v>
      </c>
      <c r="M3" s="41">
        <f t="shared" ref="M3:M5" si="6">C3-H3</f>
        <v>50.5</v>
      </c>
      <c r="N3" s="42">
        <f t="shared" ref="N3:N5" si="7">D3-I3</f>
        <v>82</v>
      </c>
    </row>
    <row r="4" spans="1:17" ht="24" customHeight="1" x14ac:dyDescent="0.25">
      <c r="A4" s="5">
        <v>90</v>
      </c>
      <c r="B4" s="6">
        <v>180</v>
      </c>
      <c r="C4" s="6">
        <v>190</v>
      </c>
      <c r="D4" s="7">
        <v>200</v>
      </c>
      <c r="F4" s="14">
        <f t="shared" si="2"/>
        <v>90</v>
      </c>
      <c r="G4" s="37">
        <f t="shared" ref="G4:G5" si="8">MEDIAN((A4+B3)/2,(A3+B3)/2,(A3+A4)/2)</f>
        <v>69</v>
      </c>
      <c r="H4" s="37">
        <f t="shared" ref="H4:H5" si="9">MEDIAN((B4+C3)/2,(B3+C3)/2,(B3+B4)/2)</f>
        <v>124.5</v>
      </c>
      <c r="I4" s="38">
        <f t="shared" ref="I4:I5" si="10">MEDIAN((C4+D3)/2,(C3+D3)/2,(C3+C4)/2)</f>
        <v>159</v>
      </c>
      <c r="K4" s="14">
        <f t="shared" si="4"/>
        <v>0</v>
      </c>
      <c r="L4" s="41">
        <f t="shared" si="5"/>
        <v>111</v>
      </c>
      <c r="M4" s="41">
        <f t="shared" si="6"/>
        <v>65.5</v>
      </c>
      <c r="N4" s="42">
        <f t="shared" si="7"/>
        <v>41</v>
      </c>
    </row>
    <row r="5" spans="1:17" ht="24" customHeight="1" thickBot="1" x14ac:dyDescent="0.3">
      <c r="A5" s="8">
        <v>140</v>
      </c>
      <c r="B5" s="9">
        <v>80</v>
      </c>
      <c r="C5" s="9">
        <v>200</v>
      </c>
      <c r="D5" s="10">
        <v>190</v>
      </c>
      <c r="F5" s="15">
        <f t="shared" si="2"/>
        <v>140</v>
      </c>
      <c r="G5" s="39">
        <f t="shared" si="8"/>
        <v>135</v>
      </c>
      <c r="H5" s="39">
        <f t="shared" si="9"/>
        <v>135</v>
      </c>
      <c r="I5" s="40">
        <f t="shared" si="10"/>
        <v>195</v>
      </c>
      <c r="K5" s="15">
        <f t="shared" si="4"/>
        <v>0</v>
      </c>
      <c r="L5" s="43">
        <f t="shared" si="5"/>
        <v>-55</v>
      </c>
      <c r="M5" s="43">
        <f t="shared" si="6"/>
        <v>65</v>
      </c>
      <c r="N5" s="44">
        <f t="shared" si="7"/>
        <v>-5</v>
      </c>
    </row>
    <row r="7" spans="1:17" x14ac:dyDescent="0.25">
      <c r="A7" s="24" t="s">
        <v>59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P7" s="45">
        <f>(7-40)/48</f>
        <v>-0.6875</v>
      </c>
    </row>
    <row r="8" spans="1:17" x14ac:dyDescent="0.25">
      <c r="A8" s="24"/>
      <c r="B8" s="24" t="s">
        <v>60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P8" s="45">
        <f>(-0.6914*48)+40</f>
        <v>6.8127999999999957</v>
      </c>
    </row>
    <row r="9" spans="1:17" x14ac:dyDescent="0.25">
      <c r="A9" s="24"/>
      <c r="B9" s="24" t="s">
        <v>61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7" x14ac:dyDescent="0.25">
      <c r="A10" s="24"/>
      <c r="B10" s="24" t="s">
        <v>75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7" x14ac:dyDescent="0.25">
      <c r="A11" s="24" t="s">
        <v>64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7" x14ac:dyDescent="0.25">
      <c r="A12" s="25"/>
      <c r="B12" s="24" t="s">
        <v>70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4" spans="1:17" s="26" customFormat="1" x14ac:dyDescent="0.25">
      <c r="A14" s="26" t="s">
        <v>71</v>
      </c>
      <c r="B14" s="27"/>
    </row>
    <row r="15" spans="1:17" s="26" customFormat="1" x14ac:dyDescent="0.25">
      <c r="A15" s="26" t="s">
        <v>73</v>
      </c>
      <c r="B15" s="27"/>
    </row>
    <row r="16" spans="1:17" s="26" customFormat="1" x14ac:dyDescent="0.25">
      <c r="A16" s="26" t="s">
        <v>72</v>
      </c>
      <c r="B16" s="27"/>
    </row>
    <row r="17" spans="1:4" s="26" customFormat="1" x14ac:dyDescent="0.25"/>
    <row r="18" spans="1:4" s="26" customFormat="1" x14ac:dyDescent="0.25">
      <c r="A18" s="26" t="s">
        <v>77</v>
      </c>
      <c r="B18" s="27"/>
    </row>
    <row r="19" spans="1:4" s="26" customFormat="1" x14ac:dyDescent="0.25"/>
    <row r="20" spans="1:4" s="26" customFormat="1" x14ac:dyDescent="0.25">
      <c r="A20" s="26" t="s">
        <v>76</v>
      </c>
      <c r="B20" s="27"/>
    </row>
    <row r="21" spans="1:4" s="26" customFormat="1" x14ac:dyDescent="0.25"/>
    <row r="22" spans="1:4" s="26" customFormat="1" x14ac:dyDescent="0.25">
      <c r="A22" s="26" t="s">
        <v>78</v>
      </c>
      <c r="B22" s="27"/>
    </row>
    <row r="23" spans="1:4" s="26" customFormat="1" x14ac:dyDescent="0.25"/>
    <row r="24" spans="1:4" s="26" customFormat="1" x14ac:dyDescent="0.25">
      <c r="A24" s="26" t="s">
        <v>79</v>
      </c>
      <c r="B24" s="27"/>
    </row>
    <row r="25" spans="1:4" s="26" customFormat="1" x14ac:dyDescent="0.25">
      <c r="B25" s="27"/>
    </row>
    <row r="26" spans="1:4" s="26" customFormat="1" x14ac:dyDescent="0.25">
      <c r="A26" s="26" t="s">
        <v>74</v>
      </c>
    </row>
    <row r="27" spans="1:4" s="26" customFormat="1" ht="15.75" thickBot="1" x14ac:dyDescent="0.3">
      <c r="A27" s="49" t="s">
        <v>34</v>
      </c>
      <c r="B27" s="49"/>
      <c r="C27" s="49"/>
      <c r="D27" s="49"/>
    </row>
    <row r="28" spans="1:4" s="26" customFormat="1" ht="24" customHeight="1" x14ac:dyDescent="0.25">
      <c r="A28" s="28" t="s">
        <v>89</v>
      </c>
      <c r="B28" s="29" t="s">
        <v>90</v>
      </c>
      <c r="C28" s="29" t="s">
        <v>91</v>
      </c>
      <c r="D28" s="30" t="s">
        <v>92</v>
      </c>
    </row>
    <row r="29" spans="1:4" s="26" customFormat="1" ht="24" customHeight="1" x14ac:dyDescent="0.25">
      <c r="A29" s="31" t="s">
        <v>93</v>
      </c>
      <c r="B29" s="32" t="s">
        <v>80</v>
      </c>
      <c r="C29" s="32" t="s">
        <v>81</v>
      </c>
      <c r="D29" s="33" t="s">
        <v>82</v>
      </c>
    </row>
    <row r="30" spans="1:4" s="26" customFormat="1" ht="24" customHeight="1" x14ac:dyDescent="0.25">
      <c r="A30" s="31" t="s">
        <v>94</v>
      </c>
      <c r="B30" s="32" t="s">
        <v>83</v>
      </c>
      <c r="C30" s="32" t="s">
        <v>84</v>
      </c>
      <c r="D30" s="33" t="s">
        <v>85</v>
      </c>
    </row>
    <row r="31" spans="1:4" s="26" customFormat="1" ht="24" customHeight="1" thickBot="1" x14ac:dyDescent="0.3">
      <c r="A31" s="34" t="s">
        <v>95</v>
      </c>
      <c r="B31" s="35" t="s">
        <v>86</v>
      </c>
      <c r="C31" s="35" t="s">
        <v>87</v>
      </c>
      <c r="D31" s="36" t="s">
        <v>88</v>
      </c>
    </row>
    <row r="32" spans="1:4" s="26" customFormat="1" x14ac:dyDescent="0.25"/>
    <row r="33" spans="1:1" s="26" customFormat="1" x14ac:dyDescent="0.25">
      <c r="A33" s="26" t="s">
        <v>96</v>
      </c>
    </row>
  </sheetData>
  <mergeCells count="4">
    <mergeCell ref="A1:D1"/>
    <mergeCell ref="F1:I1"/>
    <mergeCell ref="K1:N1"/>
    <mergeCell ref="A27:D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1"/>
  <sheetViews>
    <sheetView workbookViewId="0">
      <selection activeCell="E80" sqref="E80"/>
    </sheetView>
  </sheetViews>
  <sheetFormatPr baseColWidth="10" defaultColWidth="11.42578125" defaultRowHeight="15" x14ac:dyDescent="0.25"/>
  <cols>
    <col min="1" max="1" width="11.42578125" customWidth="1"/>
  </cols>
  <sheetData>
    <row r="1" spans="1:3" ht="15.75" x14ac:dyDescent="0.25">
      <c r="A1" s="52" t="s">
        <v>16</v>
      </c>
      <c r="B1" s="52"/>
      <c r="C1" s="52"/>
    </row>
    <row r="2" spans="1:3" ht="15.75" x14ac:dyDescent="0.25">
      <c r="A2" s="21"/>
    </row>
    <row r="3" spans="1:3" x14ac:dyDescent="0.25">
      <c r="A3" s="22" t="s">
        <v>17</v>
      </c>
      <c r="B3" s="22" t="s">
        <v>18</v>
      </c>
      <c r="C3" s="22" t="s">
        <v>19</v>
      </c>
    </row>
    <row r="4" spans="1:3" x14ac:dyDescent="0.25">
      <c r="A4" s="22">
        <v>0</v>
      </c>
      <c r="B4" s="22" t="s">
        <v>45</v>
      </c>
      <c r="C4" s="23" t="s">
        <v>57</v>
      </c>
    </row>
    <row r="5" spans="1:3" x14ac:dyDescent="0.25">
      <c r="A5" s="22">
        <v>1</v>
      </c>
      <c r="B5" s="22" t="s">
        <v>46</v>
      </c>
      <c r="C5" s="23" t="s">
        <v>20</v>
      </c>
    </row>
    <row r="6" spans="1:3" x14ac:dyDescent="0.25">
      <c r="A6" s="22">
        <v>2</v>
      </c>
      <c r="B6" s="22" t="s">
        <v>47</v>
      </c>
      <c r="C6" s="23" t="s">
        <v>21</v>
      </c>
    </row>
    <row r="7" spans="1:3" x14ac:dyDescent="0.25">
      <c r="A7" s="22">
        <v>3</v>
      </c>
      <c r="B7" s="22" t="s">
        <v>48</v>
      </c>
      <c r="C7" s="23" t="s">
        <v>22</v>
      </c>
    </row>
    <row r="9" spans="1:3" ht="15.75" x14ac:dyDescent="0.25">
      <c r="A9" s="53" t="s">
        <v>23</v>
      </c>
      <c r="B9" s="53"/>
      <c r="C9" s="53"/>
    </row>
    <row r="10" spans="1:3" ht="15.75" x14ac:dyDescent="0.25">
      <c r="A10" s="21"/>
    </row>
    <row r="11" spans="1:3" x14ac:dyDescent="0.25">
      <c r="A11" s="22" t="s">
        <v>24</v>
      </c>
    </row>
    <row r="12" spans="1:3" x14ac:dyDescent="0.25">
      <c r="A12" s="23" t="s">
        <v>49</v>
      </c>
    </row>
    <row r="13" spans="1:3" x14ac:dyDescent="0.25">
      <c r="A13" s="23" t="s">
        <v>50</v>
      </c>
    </row>
    <row r="14" spans="1:3" x14ac:dyDescent="0.25">
      <c r="A14" s="23" t="s">
        <v>51</v>
      </c>
    </row>
    <row r="15" spans="1:3" x14ac:dyDescent="0.25">
      <c r="A15" s="23" t="s">
        <v>52</v>
      </c>
    </row>
    <row r="16" spans="1:3" x14ac:dyDescent="0.25">
      <c r="A16" s="23" t="s">
        <v>53</v>
      </c>
    </row>
    <row r="17" spans="1:16" x14ac:dyDescent="0.25">
      <c r="A17" s="23" t="s">
        <v>54</v>
      </c>
    </row>
    <row r="18" spans="1:16" x14ac:dyDescent="0.25">
      <c r="A18" s="23" t="s">
        <v>55</v>
      </c>
    </row>
    <row r="19" spans="1:16" x14ac:dyDescent="0.25">
      <c r="A19" s="23" t="s">
        <v>56</v>
      </c>
    </row>
    <row r="21" spans="1:16" ht="15.75" x14ac:dyDescent="0.25">
      <c r="A21" s="53" t="s">
        <v>25</v>
      </c>
      <c r="B21" s="53"/>
      <c r="C21" s="53"/>
    </row>
    <row r="22" spans="1:16" ht="15.75" x14ac:dyDescent="0.25">
      <c r="A22" s="21"/>
    </row>
    <row r="23" spans="1:16" x14ac:dyDescent="0.25">
      <c r="A23" s="22" t="s">
        <v>24</v>
      </c>
      <c r="B23" s="22" t="s">
        <v>19</v>
      </c>
      <c r="D23" s="24" t="s">
        <v>97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x14ac:dyDescent="0.25">
      <c r="A24" s="23" t="s">
        <v>49</v>
      </c>
      <c r="B24" s="22">
        <v>1</v>
      </c>
      <c r="D24" s="24" t="s">
        <v>66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x14ac:dyDescent="0.25">
      <c r="A25" s="23" t="s">
        <v>50</v>
      </c>
      <c r="B25" s="22">
        <v>1</v>
      </c>
      <c r="D25" s="50" t="s">
        <v>65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</row>
    <row r="26" spans="1:16" x14ac:dyDescent="0.25">
      <c r="A26" s="23" t="s">
        <v>51</v>
      </c>
      <c r="B26" s="22">
        <v>0</v>
      </c>
    </row>
    <row r="27" spans="1:16" x14ac:dyDescent="0.25">
      <c r="A27" s="23" t="s">
        <v>52</v>
      </c>
      <c r="B27" s="22">
        <v>1</v>
      </c>
    </row>
    <row r="28" spans="1:16" x14ac:dyDescent="0.25">
      <c r="A28" s="23" t="s">
        <v>53</v>
      </c>
      <c r="B28" s="22">
        <v>1</v>
      </c>
    </row>
    <row r="29" spans="1:16" x14ac:dyDescent="0.25">
      <c r="A29" s="23" t="s">
        <v>54</v>
      </c>
      <c r="B29" s="22">
        <v>2</v>
      </c>
    </row>
    <row r="30" spans="1:16" x14ac:dyDescent="0.25">
      <c r="A30" s="23" t="s">
        <v>55</v>
      </c>
      <c r="B30" s="22">
        <v>2</v>
      </c>
    </row>
    <row r="31" spans="1:16" x14ac:dyDescent="0.25">
      <c r="A31" s="23" t="s">
        <v>56</v>
      </c>
      <c r="B31" s="22">
        <v>3</v>
      </c>
    </row>
    <row r="33" spans="1:12" ht="15.75" x14ac:dyDescent="0.25">
      <c r="A33" s="53" t="s">
        <v>26</v>
      </c>
      <c r="B33" s="53"/>
      <c r="C33" s="53"/>
    </row>
    <row r="34" spans="1:12" ht="15.75" x14ac:dyDescent="0.25">
      <c r="A34" s="21"/>
      <c r="G34" s="22">
        <v>65</v>
      </c>
      <c r="H34" s="22">
        <v>76</v>
      </c>
      <c r="I34" s="22">
        <v>92</v>
      </c>
      <c r="J34" s="22">
        <v>134</v>
      </c>
      <c r="K34">
        <f>(I34-G34)^2</f>
        <v>729</v>
      </c>
      <c r="L34">
        <f>(J34-H34)^2</f>
        <v>3364</v>
      </c>
    </row>
    <row r="35" spans="1:12" x14ac:dyDescent="0.25">
      <c r="A35" s="22" t="s">
        <v>17</v>
      </c>
      <c r="B35" s="22" t="s">
        <v>18</v>
      </c>
      <c r="C35" s="22" t="s">
        <v>19</v>
      </c>
      <c r="G35" s="22">
        <v>86</v>
      </c>
      <c r="H35" s="22">
        <v>89</v>
      </c>
      <c r="I35" s="22">
        <v>92</v>
      </c>
      <c r="J35" s="22">
        <v>134</v>
      </c>
      <c r="K35">
        <f t="shared" ref="K35:L41" si="0">(I35-G35)^2</f>
        <v>36</v>
      </c>
      <c r="L35">
        <f t="shared" si="0"/>
        <v>2025</v>
      </c>
    </row>
    <row r="36" spans="1:12" x14ac:dyDescent="0.25">
      <c r="A36" s="22">
        <v>0</v>
      </c>
      <c r="B36" s="22" t="s">
        <v>45</v>
      </c>
      <c r="C36" s="22" t="s">
        <v>27</v>
      </c>
      <c r="G36" s="22">
        <v>48</v>
      </c>
      <c r="H36" s="22">
        <v>69</v>
      </c>
      <c r="I36" s="22">
        <v>48</v>
      </c>
      <c r="J36" s="22">
        <v>69</v>
      </c>
      <c r="K36">
        <f t="shared" si="0"/>
        <v>0</v>
      </c>
      <c r="L36">
        <f t="shared" si="0"/>
        <v>0</v>
      </c>
    </row>
    <row r="37" spans="1:12" x14ac:dyDescent="0.25">
      <c r="A37" s="22">
        <v>1</v>
      </c>
      <c r="B37" s="22" t="s">
        <v>46</v>
      </c>
      <c r="C37" s="22" t="s">
        <v>28</v>
      </c>
      <c r="G37" s="22">
        <v>128</v>
      </c>
      <c r="H37" s="22">
        <v>189</v>
      </c>
      <c r="I37" s="22">
        <v>92</v>
      </c>
      <c r="J37" s="22">
        <v>134</v>
      </c>
      <c r="K37">
        <f t="shared" si="0"/>
        <v>1296</v>
      </c>
      <c r="L37">
        <f t="shared" si="0"/>
        <v>3025</v>
      </c>
    </row>
    <row r="38" spans="1:12" x14ac:dyDescent="0.25">
      <c r="A38" s="22">
        <v>2</v>
      </c>
      <c r="B38" s="22" t="s">
        <v>47</v>
      </c>
      <c r="C38" s="22" t="s">
        <v>29</v>
      </c>
      <c r="G38" s="22">
        <v>90</v>
      </c>
      <c r="H38" s="22">
        <v>180</v>
      </c>
      <c r="I38" s="22">
        <v>92</v>
      </c>
      <c r="J38" s="22">
        <v>134</v>
      </c>
      <c r="K38">
        <f t="shared" si="0"/>
        <v>4</v>
      </c>
      <c r="L38">
        <f t="shared" si="0"/>
        <v>2116</v>
      </c>
    </row>
    <row r="39" spans="1:12" x14ac:dyDescent="0.25">
      <c r="A39" s="22">
        <v>3</v>
      </c>
      <c r="B39" s="22" t="s">
        <v>48</v>
      </c>
      <c r="C39" s="22" t="s">
        <v>30</v>
      </c>
      <c r="G39" s="22">
        <v>190</v>
      </c>
      <c r="H39" s="22">
        <v>200</v>
      </c>
      <c r="I39" s="22">
        <v>165</v>
      </c>
      <c r="J39" s="22">
        <v>140</v>
      </c>
      <c r="K39">
        <f t="shared" si="0"/>
        <v>625</v>
      </c>
      <c r="L39">
        <f t="shared" si="0"/>
        <v>3600</v>
      </c>
    </row>
    <row r="40" spans="1:12" x14ac:dyDescent="0.25">
      <c r="G40" s="22">
        <v>140</v>
      </c>
      <c r="H40" s="22">
        <v>80</v>
      </c>
      <c r="I40" s="22">
        <v>165</v>
      </c>
      <c r="J40" s="22">
        <v>140</v>
      </c>
      <c r="K40">
        <f t="shared" si="0"/>
        <v>625</v>
      </c>
      <c r="L40">
        <f t="shared" si="0"/>
        <v>3600</v>
      </c>
    </row>
    <row r="41" spans="1:12" ht="15.75" x14ac:dyDescent="0.25">
      <c r="A41" s="53" t="s">
        <v>31</v>
      </c>
      <c r="B41" s="53"/>
      <c r="C41" s="53"/>
      <c r="G41" s="22">
        <v>200</v>
      </c>
      <c r="H41" s="22">
        <v>190</v>
      </c>
      <c r="I41" s="22">
        <v>200</v>
      </c>
      <c r="J41" s="22">
        <v>190</v>
      </c>
      <c r="K41">
        <f t="shared" si="0"/>
        <v>0</v>
      </c>
      <c r="L41">
        <f t="shared" si="0"/>
        <v>0</v>
      </c>
    </row>
    <row r="42" spans="1:12" ht="15.75" x14ac:dyDescent="0.25">
      <c r="A42" s="21"/>
      <c r="J42" t="s">
        <v>58</v>
      </c>
      <c r="K42">
        <f>SUM(K34:L41)/16</f>
        <v>1315.3125</v>
      </c>
    </row>
    <row r="43" spans="1:12" x14ac:dyDescent="0.25">
      <c r="A43" s="22" t="s">
        <v>32</v>
      </c>
      <c r="B43" s="22" t="s">
        <v>33</v>
      </c>
      <c r="C43" s="22" t="s">
        <v>34</v>
      </c>
    </row>
    <row r="44" spans="1:12" x14ac:dyDescent="0.25">
      <c r="A44" s="23" t="s">
        <v>49</v>
      </c>
      <c r="B44" s="22">
        <v>1</v>
      </c>
      <c r="C44" s="22" t="s">
        <v>28</v>
      </c>
    </row>
    <row r="45" spans="1:12" x14ac:dyDescent="0.25">
      <c r="A45" s="23" t="s">
        <v>50</v>
      </c>
      <c r="B45" s="22">
        <v>1</v>
      </c>
      <c r="C45" s="22" t="s">
        <v>28</v>
      </c>
    </row>
    <row r="46" spans="1:12" x14ac:dyDescent="0.25">
      <c r="A46" s="23" t="s">
        <v>51</v>
      </c>
      <c r="B46" s="22">
        <v>0</v>
      </c>
      <c r="C46" s="22" t="s">
        <v>27</v>
      </c>
    </row>
    <row r="47" spans="1:12" x14ac:dyDescent="0.25">
      <c r="A47" s="23" t="s">
        <v>52</v>
      </c>
      <c r="B47" s="22">
        <v>1</v>
      </c>
      <c r="C47" s="22" t="s">
        <v>28</v>
      </c>
    </row>
    <row r="48" spans="1:12" x14ac:dyDescent="0.25">
      <c r="A48" s="23" t="s">
        <v>53</v>
      </c>
      <c r="B48" s="22">
        <v>1</v>
      </c>
      <c r="C48" s="22" t="s">
        <v>28</v>
      </c>
    </row>
    <row r="49" spans="1:3" x14ac:dyDescent="0.25">
      <c r="A49" s="23" t="s">
        <v>54</v>
      </c>
      <c r="B49" s="22">
        <v>2</v>
      </c>
      <c r="C49" s="22" t="s">
        <v>29</v>
      </c>
    </row>
    <row r="50" spans="1:3" x14ac:dyDescent="0.25">
      <c r="A50" s="23" t="s">
        <v>55</v>
      </c>
      <c r="B50" s="22">
        <v>2</v>
      </c>
      <c r="C50" s="22" t="s">
        <v>29</v>
      </c>
    </row>
    <row r="51" spans="1:3" x14ac:dyDescent="0.25">
      <c r="A51" s="23" t="s">
        <v>56</v>
      </c>
      <c r="B51" s="22">
        <v>3</v>
      </c>
      <c r="C51" s="22" t="s">
        <v>30</v>
      </c>
    </row>
    <row r="53" spans="1:3" ht="15.75" x14ac:dyDescent="0.25">
      <c r="A53" s="53" t="s">
        <v>35</v>
      </c>
      <c r="B53" s="53"/>
      <c r="C53" s="53"/>
    </row>
    <row r="54" spans="1:3" ht="15.75" x14ac:dyDescent="0.25">
      <c r="A54" s="21"/>
    </row>
    <row r="55" spans="1:3" ht="15.75" x14ac:dyDescent="0.25">
      <c r="A55" s="53" t="s">
        <v>36</v>
      </c>
      <c r="B55" s="53"/>
      <c r="C55" s="53"/>
    </row>
    <row r="56" spans="1:3" ht="15.75" x14ac:dyDescent="0.25">
      <c r="A56" s="21"/>
    </row>
    <row r="57" spans="1:3" ht="15.75" x14ac:dyDescent="0.25">
      <c r="A57" s="54" t="s">
        <v>37</v>
      </c>
      <c r="B57" s="54"/>
      <c r="C57" s="54"/>
    </row>
    <row r="58" spans="1:3" ht="15.75" x14ac:dyDescent="0.25">
      <c r="A58" s="21"/>
    </row>
    <row r="59" spans="1:3" x14ac:dyDescent="0.25">
      <c r="A59" s="22" t="s">
        <v>24</v>
      </c>
      <c r="B59" s="22" t="s">
        <v>19</v>
      </c>
    </row>
    <row r="60" spans="1:3" x14ac:dyDescent="0.25">
      <c r="A60" s="23" t="s">
        <v>49</v>
      </c>
      <c r="B60" s="22">
        <v>0</v>
      </c>
    </row>
    <row r="61" spans="1:3" x14ac:dyDescent="0.25">
      <c r="A61" s="23" t="s">
        <v>50</v>
      </c>
      <c r="B61" s="22">
        <v>0</v>
      </c>
    </row>
    <row r="62" spans="1:3" x14ac:dyDescent="0.25">
      <c r="A62" s="23" t="s">
        <v>51</v>
      </c>
      <c r="B62" s="22">
        <v>0</v>
      </c>
    </row>
    <row r="63" spans="1:3" x14ac:dyDescent="0.25">
      <c r="A63" s="23" t="s">
        <v>52</v>
      </c>
      <c r="B63" s="22">
        <v>2</v>
      </c>
    </row>
    <row r="64" spans="1:3" x14ac:dyDescent="0.25">
      <c r="A64" s="23" t="s">
        <v>53</v>
      </c>
      <c r="B64" s="22">
        <v>1</v>
      </c>
    </row>
    <row r="65" spans="1:9" x14ac:dyDescent="0.25">
      <c r="A65" s="23" t="s">
        <v>54</v>
      </c>
      <c r="B65" s="22">
        <v>3</v>
      </c>
    </row>
    <row r="66" spans="1:9" x14ac:dyDescent="0.25">
      <c r="A66" s="23" t="s">
        <v>55</v>
      </c>
      <c r="B66" s="22">
        <v>2</v>
      </c>
    </row>
    <row r="67" spans="1:9" x14ac:dyDescent="0.25">
      <c r="A67" s="23" t="s">
        <v>56</v>
      </c>
      <c r="B67" s="22">
        <v>3</v>
      </c>
    </row>
    <row r="69" spans="1:9" ht="15.75" x14ac:dyDescent="0.25">
      <c r="A69" s="54" t="s">
        <v>38</v>
      </c>
      <c r="B69" s="54"/>
      <c r="C69" s="54"/>
    </row>
    <row r="70" spans="1:9" ht="15.75" x14ac:dyDescent="0.25">
      <c r="A70" s="21"/>
    </row>
    <row r="71" spans="1:9" x14ac:dyDescent="0.25">
      <c r="A71" s="22" t="s">
        <v>17</v>
      </c>
      <c r="B71" s="22" t="s">
        <v>18</v>
      </c>
      <c r="C71" s="22" t="s">
        <v>19</v>
      </c>
    </row>
    <row r="72" spans="1:9" x14ac:dyDescent="0.25">
      <c r="A72" s="22">
        <v>0</v>
      </c>
      <c r="B72" s="22" t="s">
        <v>45</v>
      </c>
      <c r="C72" s="22" t="s">
        <v>39</v>
      </c>
    </row>
    <row r="73" spans="1:9" x14ac:dyDescent="0.25">
      <c r="A73" s="22">
        <v>1</v>
      </c>
      <c r="B73" s="22" t="s">
        <v>46</v>
      </c>
      <c r="C73" s="22" t="s">
        <v>40</v>
      </c>
    </row>
    <row r="74" spans="1:9" x14ac:dyDescent="0.25">
      <c r="A74" s="22">
        <v>2</v>
      </c>
      <c r="B74" s="22" t="s">
        <v>47</v>
      </c>
      <c r="C74" s="22" t="s">
        <v>41</v>
      </c>
    </row>
    <row r="75" spans="1:9" x14ac:dyDescent="0.25">
      <c r="A75" s="22">
        <v>3</v>
      </c>
      <c r="B75" s="22" t="s">
        <v>48</v>
      </c>
      <c r="C75" s="22" t="s">
        <v>42</v>
      </c>
    </row>
    <row r="77" spans="1:9" ht="15.75" x14ac:dyDescent="0.25">
      <c r="A77" s="54" t="s">
        <v>43</v>
      </c>
      <c r="B77" s="54"/>
      <c r="C77" s="54"/>
      <c r="D77" s="50" t="s">
        <v>98</v>
      </c>
      <c r="E77" s="50"/>
      <c r="F77" s="50"/>
      <c r="G77" s="50"/>
      <c r="H77" s="50"/>
      <c r="I77" s="50"/>
    </row>
    <row r="78" spans="1:9" ht="15.75" x14ac:dyDescent="0.25">
      <c r="A78" s="21"/>
    </row>
    <row r="79" spans="1:9" x14ac:dyDescent="0.25">
      <c r="A79" s="22" t="s">
        <v>32</v>
      </c>
      <c r="B79" s="22" t="s">
        <v>33</v>
      </c>
      <c r="C79" s="22" t="s">
        <v>34</v>
      </c>
    </row>
    <row r="80" spans="1:9" x14ac:dyDescent="0.25">
      <c r="A80" s="23" t="s">
        <v>49</v>
      </c>
      <c r="B80" s="22">
        <v>0</v>
      </c>
      <c r="C80" s="22" t="s">
        <v>39</v>
      </c>
    </row>
    <row r="81" spans="1:10" x14ac:dyDescent="0.25">
      <c r="A81" s="23" t="s">
        <v>50</v>
      </c>
      <c r="B81" s="22">
        <v>0</v>
      </c>
      <c r="C81" s="22" t="s">
        <v>39</v>
      </c>
    </row>
    <row r="82" spans="1:10" x14ac:dyDescent="0.25">
      <c r="A82" s="23" t="s">
        <v>51</v>
      </c>
      <c r="B82" s="22">
        <v>0</v>
      </c>
      <c r="C82" s="22" t="s">
        <v>39</v>
      </c>
    </row>
    <row r="83" spans="1:10" x14ac:dyDescent="0.25">
      <c r="A83" s="23" t="s">
        <v>52</v>
      </c>
      <c r="B83" s="22">
        <v>2</v>
      </c>
      <c r="C83" s="22" t="s">
        <v>41</v>
      </c>
    </row>
    <row r="84" spans="1:10" x14ac:dyDescent="0.25">
      <c r="A84" s="23" t="s">
        <v>53</v>
      </c>
      <c r="B84" s="22">
        <v>1</v>
      </c>
      <c r="C84" s="22" t="s">
        <v>40</v>
      </c>
    </row>
    <row r="85" spans="1:10" x14ac:dyDescent="0.25">
      <c r="A85" s="23" t="s">
        <v>54</v>
      </c>
      <c r="B85" s="22">
        <v>3</v>
      </c>
      <c r="C85" s="22" t="s">
        <v>42</v>
      </c>
    </row>
    <row r="86" spans="1:10" x14ac:dyDescent="0.25">
      <c r="A86" s="23" t="s">
        <v>55</v>
      </c>
      <c r="B86" s="22">
        <v>2</v>
      </c>
      <c r="C86" s="22" t="s">
        <v>41</v>
      </c>
    </row>
    <row r="87" spans="1:10" x14ac:dyDescent="0.25">
      <c r="A87" s="23" t="s">
        <v>56</v>
      </c>
      <c r="B87" s="22">
        <v>3</v>
      </c>
      <c r="C87" s="22" t="s">
        <v>42</v>
      </c>
    </row>
    <row r="88" spans="1:10" ht="15.75" x14ac:dyDescent="0.25">
      <c r="A88" s="21"/>
    </row>
    <row r="89" spans="1:10" ht="15.75" x14ac:dyDescent="0.25">
      <c r="A89" s="51" t="s">
        <v>44</v>
      </c>
      <c r="B89" s="51"/>
      <c r="C89" s="51"/>
    </row>
    <row r="91" spans="1:10" x14ac:dyDescent="0.25">
      <c r="A91" s="24" t="s">
        <v>67</v>
      </c>
      <c r="B91" s="24"/>
      <c r="C91" s="24"/>
      <c r="D91" s="24"/>
      <c r="E91" s="24"/>
      <c r="F91" s="24"/>
      <c r="G91" s="24"/>
      <c r="H91" s="24"/>
      <c r="I91" s="25"/>
      <c r="J91" s="25"/>
    </row>
  </sheetData>
  <mergeCells count="13">
    <mergeCell ref="D25:P25"/>
    <mergeCell ref="A89:C89"/>
    <mergeCell ref="A1:C1"/>
    <mergeCell ref="A9:C9"/>
    <mergeCell ref="A21:C21"/>
    <mergeCell ref="A33:C33"/>
    <mergeCell ref="A41:C41"/>
    <mergeCell ref="A53:C53"/>
    <mergeCell ref="A55:C55"/>
    <mergeCell ref="A57:C57"/>
    <mergeCell ref="A69:C69"/>
    <mergeCell ref="A77:C77"/>
    <mergeCell ref="D77:I77"/>
  </mergeCells>
  <pageMargins left="0.7" right="0.7" top="0.75" bottom="0.75" header="0.3" footer="0.3"/>
  <pageSetup orientation="portrait" r:id="rId1"/>
  <ignoredErrors>
    <ignoredError sqref="A12:A19 A24:A31 C4 A44:A51 A60:A67 A80:A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Problème 1 (Interpolation)</vt:lpstr>
      <vt:lpstr>Problème 2 (Q. Unif.)</vt:lpstr>
      <vt:lpstr>Problème 3 (DPCM)</vt:lpstr>
      <vt:lpstr>Problème 4 (LBG)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Gournay</dc:creator>
  <cp:lastModifiedBy>Philippe Gournay</cp:lastModifiedBy>
  <dcterms:created xsi:type="dcterms:W3CDTF">2014-01-28T16:40:02Z</dcterms:created>
  <dcterms:modified xsi:type="dcterms:W3CDTF">2025-01-29T19:25:03Z</dcterms:modified>
</cp:coreProperties>
</file>